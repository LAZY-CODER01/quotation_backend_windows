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at\Desktop\SnapQuote\backend\sample\"/>
    </mc:Choice>
  </mc:AlternateContent>
  <xr:revisionPtr revIDLastSave="0" documentId="13_ncr:1_{97ACC5F9-20AF-4AC0-B064-256786BEE5E5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 (2)" sheetId="6" r:id="rId1"/>
  </sheets>
  <definedNames>
    <definedName name="_xlnm.Print_Area" localSheetId="0">'Sheet1 (2)'!$A$1:$I$845</definedName>
    <definedName name="_xlnm.Print_Titles" localSheetId="0">'Sheet1 (2)'!$11:$11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10" i="6" l="1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M31" i="6"/>
  <c r="N31" i="6" s="1"/>
  <c r="P31" i="6" s="1"/>
  <c r="I31" i="6"/>
  <c r="M30" i="6"/>
  <c r="N30" i="6" s="1"/>
  <c r="P30" i="6" s="1"/>
  <c r="I30" i="6"/>
  <c r="M29" i="6"/>
  <c r="N29" i="6" s="1"/>
  <c r="P29" i="6" s="1"/>
  <c r="I29" i="6"/>
  <c r="M28" i="6"/>
  <c r="N28" i="6" s="1"/>
  <c r="P28" i="6" s="1"/>
  <c r="I28" i="6"/>
  <c r="M27" i="6"/>
  <c r="N27" i="6" s="1"/>
  <c r="P27" i="6" s="1"/>
  <c r="I27" i="6"/>
  <c r="M26" i="6"/>
  <c r="N26" i="6" s="1"/>
  <c r="P26" i="6" s="1"/>
  <c r="I26" i="6"/>
  <c r="M25" i="6"/>
  <c r="N25" i="6" s="1"/>
  <c r="P25" i="6" s="1"/>
  <c r="I25" i="6"/>
  <c r="N24" i="6"/>
  <c r="P24" i="6" s="1"/>
  <c r="M24" i="6"/>
  <c r="I24" i="6"/>
  <c r="M23" i="6"/>
  <c r="N23" i="6" s="1"/>
  <c r="P23" i="6" s="1"/>
  <c r="I23" i="6"/>
  <c r="M22" i="6"/>
  <c r="N22" i="6" s="1"/>
  <c r="P22" i="6" s="1"/>
  <c r="I22" i="6"/>
  <c r="M21" i="6"/>
  <c r="N21" i="6" s="1"/>
  <c r="P21" i="6" s="1"/>
  <c r="I21" i="6"/>
  <c r="N20" i="6"/>
  <c r="P20" i="6" s="1"/>
  <c r="M20" i="6"/>
  <c r="I20" i="6"/>
  <c r="M19" i="6"/>
  <c r="N19" i="6" s="1"/>
  <c r="P19" i="6" s="1"/>
  <c r="I19" i="6"/>
  <c r="M18" i="6"/>
  <c r="N18" i="6" s="1"/>
  <c r="P18" i="6" s="1"/>
  <c r="I18" i="6"/>
  <c r="M17" i="6"/>
  <c r="N17" i="6" s="1"/>
  <c r="P17" i="6" s="1"/>
  <c r="I17" i="6"/>
  <c r="N16" i="6"/>
  <c r="P16" i="6" s="1"/>
  <c r="M16" i="6"/>
  <c r="I16" i="6"/>
  <c r="M15" i="6"/>
  <c r="N15" i="6" s="1"/>
  <c r="P15" i="6" s="1"/>
  <c r="I15" i="6"/>
  <c r="M14" i="6"/>
  <c r="N14" i="6" s="1"/>
  <c r="P14" i="6" s="1"/>
  <c r="I14" i="6"/>
  <c r="M13" i="6"/>
  <c r="N13" i="6" s="1"/>
  <c r="P13" i="6" s="1"/>
  <c r="I13" i="6"/>
  <c r="I12" i="6"/>
  <c r="I812" i="6" s="1"/>
  <c r="I813" i="6" s="1"/>
  <c r="M12" i="6"/>
  <c r="N12" i="6" s="1"/>
  <c r="P12" i="6" s="1"/>
  <c r="I814" i="6" l="1"/>
</calcChain>
</file>

<file path=xl/sharedStrings.xml><?xml version="1.0" encoding="utf-8"?>
<sst xmlns="http://schemas.openxmlformats.org/spreadsheetml/2006/main" count="2444" uniqueCount="846">
  <si>
    <t>Description</t>
  </si>
  <si>
    <t>Image</t>
  </si>
  <si>
    <t>Qty</t>
  </si>
  <si>
    <t>TERMS:</t>
  </si>
  <si>
    <t>(This message has been electronically transmitted and does not require a signature).</t>
  </si>
  <si>
    <t>Subject:</t>
  </si>
  <si>
    <t xml:space="preserve">Mobile: </t>
  </si>
  <si>
    <t>Unit</t>
  </si>
  <si>
    <t>Delivery:</t>
  </si>
  <si>
    <t>Payment:</t>
  </si>
  <si>
    <t>Validity:</t>
  </si>
  <si>
    <t>QUOTATION</t>
  </si>
  <si>
    <t>Your Ref:</t>
  </si>
  <si>
    <t>Please revert for clarifications if any. Thank you for providing an opportunity to quote.</t>
  </si>
  <si>
    <t>Best Regards,</t>
  </si>
  <si>
    <t>Email:</t>
  </si>
  <si>
    <t>From:</t>
  </si>
  <si>
    <t>To:</t>
  </si>
  <si>
    <t>Attn:</t>
  </si>
  <si>
    <t>Dated:</t>
  </si>
  <si>
    <t>Thank you for your enquiry, we are pleased to offer the following in line with your requirement.</t>
  </si>
  <si>
    <t>Price:</t>
  </si>
  <si>
    <t>SL. No.</t>
  </si>
  <si>
    <t>Good Day ,</t>
  </si>
  <si>
    <t>Total Price (AED)</t>
  </si>
  <si>
    <t>Unit Price (AED)</t>
  </si>
  <si>
    <t>VAT 5% (AED).</t>
  </si>
  <si>
    <t>GRAND TOTAL AMOUNT (AED).</t>
  </si>
  <si>
    <t>Total Amount (AED).</t>
  </si>
  <si>
    <t>Stated in Description Column Against Each Item.</t>
  </si>
  <si>
    <t>15 days from offer date.</t>
  </si>
  <si>
    <t>Brand &amp; Model</t>
  </si>
  <si>
    <t>Delivery Lead Time</t>
  </si>
  <si>
    <t>Quotation Date:</t>
  </si>
  <si>
    <t>Quotation Ref:</t>
  </si>
  <si>
    <t>CP</t>
  </si>
  <si>
    <t>%</t>
  </si>
  <si>
    <t>SP</t>
  </si>
  <si>
    <t>Profit in AED</t>
  </si>
  <si>
    <t>30 Days Credit.</t>
  </si>
  <si>
    <t>DBQ-25</t>
  </si>
  <si>
    <t>1</t>
  </si>
  <si>
    <r>
      <rPr>
        <b/>
        <u/>
        <sz val="12"/>
        <color rgb="FF002060"/>
        <rFont val="Calibri"/>
        <family val="2"/>
      </rPr>
      <t>Your Requirement</t>
    </r>
    <r>
      <rPr>
        <sz val="12"/>
        <rFont val="Calibri"/>
        <family val="2"/>
      </rPr>
      <t xml:space="preserve">:
</t>
    </r>
    <r>
      <rPr>
        <b/>
        <u/>
        <sz val="12"/>
        <color rgb="FFFF0000"/>
        <rFont val="Calibri"/>
        <family val="2"/>
      </rPr>
      <t>We OFFER</t>
    </r>
    <r>
      <rPr>
        <sz val="12"/>
        <rFont val="Calibri"/>
        <family val="2"/>
      </rPr>
      <t xml:space="preserve">:
</t>
    </r>
  </si>
  <si>
    <t xml:space="preserve">Offer for </t>
  </si>
  <si>
    <t>Ex stock, subject to prior sales.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</si>
  <si>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</si>
  <si>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</si>
  <si>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</si>
  <si>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</si>
  <si>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</si>
  <si>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</si>
  <si>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</si>
  <si>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</si>
  <si>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</si>
  <si>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</si>
  <si>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</si>
  <si>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</si>
  <si>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</si>
  <si>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</si>
  <si>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</si>
  <si>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</si>
  <si>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</si>
  <si>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</si>
  <si>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</si>
  <si>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</si>
  <si>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</si>
  <si>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</si>
  <si>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</si>
  <si>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</si>
  <si>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</si>
  <si>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</si>
  <si>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</si>
  <si>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</si>
  <si>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</si>
  <si>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</si>
  <si>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</si>
  <si>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</si>
  <si>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</si>
  <si>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</si>
  <si>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</si>
  <si>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</si>
  <si>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</si>
  <si>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</si>
  <si>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</si>
  <si>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</si>
  <si>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</si>
  <si>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</si>
  <si>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</si>
  <si>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</si>
  <si>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</si>
  <si>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</si>
  <si>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</si>
  <si>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</si>
  <si>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</si>
  <si>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</si>
  <si>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</si>
  <si>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</si>
  <si>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</si>
  <si>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</si>
  <si>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</si>
  <si>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</si>
  <si>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</si>
  <si>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</si>
  <si>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</si>
  <si>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</si>
  <si>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</si>
  <si>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</si>
  <si>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</si>
  <si>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</si>
  <si>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</si>
  <si>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</si>
  <si>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</si>
  <si>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</si>
  <si>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</si>
  <si>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</si>
  <si>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</si>
  <si>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</si>
  <si>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</si>
  <si>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</si>
  <si>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</si>
  <si>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</si>
  <si>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</si>
  <si>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</si>
  <si>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</si>
  <si>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</si>
  <si>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</si>
  <si>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</si>
  <si>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</si>
  <si>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</si>
  <si>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</si>
  <si>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</si>
  <si>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</si>
  <si>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</si>
  <si>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</si>
  <si>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</si>
  <si>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</si>
  <si>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</si>
  <si>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</si>
  <si>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</si>
  <si>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</si>
  <si>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</si>
  <si>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</si>
  <si>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</si>
  <si>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</si>
  <si>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Mr. Husain Abdul Kadir/ +971 54 337 3553</t>
  </si>
  <si>
    <t>NOTE :-  STOCK AVAILBILITY AS PER THE QUOTATION DATE KINDLY CONFIRM AT THE TIME OF CONFIRMATION.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</si>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</sst>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2"/>
      <color rgb="FF00206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26">
    <xf numFmtId="0" fontId="0" fillId="0" borderId="0"/>
    <xf numFmtId="0" fontId="3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164" fontId="14" fillId="7" borderId="9" xfId="279" applyFont="1" applyFill="1" applyBorder="1"/>
    <xf numFmtId="164" fontId="14" fillId="7" borderId="0" xfId="279" applyFont="1" applyFill="1" applyBorder="1"/>
    <xf numFmtId="164" fontId="9" fillId="7" borderId="5" xfId="279" applyFont="1" applyFill="1" applyBorder="1" applyAlignment="1">
      <alignment horizontal="center" vertical="center" wrapText="1"/>
    </xf>
    <xf numFmtId="164" fontId="9" fillId="5" borderId="14" xfId="279" applyFont="1" applyFill="1" applyBorder="1" applyAlignment="1">
      <alignment horizontal="center" vertical="center" wrapText="1"/>
    </xf>
    <xf numFmtId="164" fontId="14" fillId="7" borderId="15" xfId="279" applyFont="1" applyFill="1" applyBorder="1" applyAlignment="1">
      <alignment horizontal="center" vertical="center"/>
    </xf>
    <xf numFmtId="164" fontId="14" fillId="0" borderId="9" xfId="279" applyFont="1" applyBorder="1"/>
    <xf numFmtId="164" fontId="14" fillId="0" borderId="0" xfId="279" applyFont="1" applyBorder="1"/>
    <xf numFmtId="164" fontId="9" fillId="2" borderId="5" xfId="279" applyFont="1" applyFill="1" applyBorder="1" applyAlignment="1">
      <alignment horizontal="center" vertical="center" wrapText="1"/>
    </xf>
    <xf numFmtId="164" fontId="15" fillId="0" borderId="15" xfId="279" applyFont="1" applyBorder="1" applyAlignment="1">
      <alignment horizontal="center" vertical="center"/>
    </xf>
    <xf numFmtId="164" fontId="16" fillId="0" borderId="10" xfId="279" applyFont="1" applyFill="1" applyBorder="1"/>
    <xf numFmtId="164" fontId="16" fillId="0" borderId="12" xfId="279" applyFont="1" applyFill="1" applyBorder="1"/>
    <xf numFmtId="164" fontId="9" fillId="0" borderId="14" xfId="279" applyFont="1" applyFill="1" applyBorder="1" applyAlignment="1">
      <alignment horizontal="center" vertical="center" wrapText="1"/>
    </xf>
    <xf numFmtId="164" fontId="16" fillId="0" borderId="16" xfId="279" applyFont="1" applyFill="1" applyBorder="1" applyAlignment="1">
      <alignment horizontal="center" vertical="center"/>
    </xf>
    <xf numFmtId="10" fontId="14" fillId="6" borderId="9" xfId="280" applyNumberFormat="1" applyFont="1" applyFill="1" applyBorder="1"/>
    <xf numFmtId="10" fontId="14" fillId="6" borderId="0" xfId="280" applyNumberFormat="1" applyFont="1" applyFill="1" applyBorder="1"/>
    <xf numFmtId="10" fontId="9" fillId="6" borderId="5" xfId="280" applyNumberFormat="1" applyFont="1" applyFill="1" applyBorder="1" applyAlignment="1">
      <alignment horizontal="center" vertical="center" wrapText="1"/>
    </xf>
    <xf numFmtId="10" fontId="14" fillId="6" borderId="15" xfId="280" applyNumberFormat="1" applyFont="1" applyFill="1" applyBorder="1" applyAlignment="1">
      <alignment horizontal="center" vertical="center"/>
    </xf>
    <xf numFmtId="0" fontId="17" fillId="0" borderId="0" xfId="0" applyFont="1"/>
    <xf numFmtId="164" fontId="17" fillId="0" borderId="0" xfId="279" applyFont="1" applyAlignment="1">
      <alignment horizontal="center" vertical="center"/>
    </xf>
    <xf numFmtId="4" fontId="11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6" fillId="0" borderId="0" xfId="279" applyFont="1" applyFill="1" applyBorder="1"/>
    <xf numFmtId="0" fontId="18" fillId="0" borderId="0" xfId="0" applyFont="1" applyAlignment="1">
      <alignment vertical="center" wrapText="1"/>
    </xf>
    <xf numFmtId="0" fontId="1" fillId="0" borderId="22" xfId="0" applyFont="1" applyBorder="1" applyAlignment="1">
      <alignment horizontal="left" vertical="center"/>
    </xf>
    <xf numFmtId="0" fontId="2" fillId="0" borderId="23" xfId="0" applyFont="1" applyBorder="1"/>
    <xf numFmtId="0" fontId="0" fillId="0" borderId="2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3" xfId="0" applyBorder="1"/>
    <xf numFmtId="0" fontId="13" fillId="0" borderId="1" xfId="0" applyFont="1" applyBorder="1" applyAlignment="1">
      <alignment horizontal="left" vertical="top" wrapText="1"/>
    </xf>
    <xf numFmtId="49" fontId="11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4" fontId="20" fillId="0" borderId="18" xfId="0" applyNumberFormat="1" applyFont="1" applyBorder="1" applyAlignment="1">
      <alignment horizontal="center" vertical="center" wrapText="1"/>
    </xf>
    <xf numFmtId="4" fontId="20" fillId="8" borderId="18" xfId="0" applyNumberFormat="1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/>
    </xf>
    <xf numFmtId="0" fontId="22" fillId="0" borderId="0" xfId="0" applyFont="1"/>
    <xf numFmtId="0" fontId="22" fillId="0" borderId="2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23" xfId="0" applyFont="1" applyBorder="1"/>
    <xf numFmtId="0" fontId="23" fillId="0" borderId="0" xfId="0" applyFont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3" fillId="0" borderId="23" xfId="0" applyFont="1" applyBorder="1"/>
    <xf numFmtId="0" fontId="21" fillId="0" borderId="22" xfId="0" applyFont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24" fillId="0" borderId="7" xfId="0" applyFont="1" applyBorder="1" applyAlignment="1">
      <alignment horizontal="left" vertical="center"/>
    </xf>
    <xf numFmtId="0" fontId="22" fillId="0" borderId="7" xfId="0" applyFont="1" applyBorder="1"/>
    <xf numFmtId="0" fontId="22" fillId="0" borderId="7" xfId="0" applyFont="1" applyBorder="1" applyAlignment="1">
      <alignment horizontal="center" vertical="center"/>
    </xf>
    <xf numFmtId="0" fontId="22" fillId="0" borderId="18" xfId="0" applyFont="1" applyBorder="1"/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25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20" fillId="0" borderId="2" xfId="0" applyFont="1" applyBorder="1" applyAlignment="1">
      <alignment horizontal="right" vertical="center" wrapText="1"/>
    </xf>
    <xf numFmtId="0" fontId="20" fillId="0" borderId="3" xfId="0" applyFont="1" applyBorder="1" applyAlignment="1">
      <alignment horizontal="right" vertical="center" wrapText="1"/>
    </xf>
    <xf numFmtId="0" fontId="20" fillId="0" borderId="24" xfId="0" applyFont="1" applyBorder="1" applyAlignment="1">
      <alignment horizontal="right" vertical="center" wrapText="1"/>
    </xf>
    <xf numFmtId="0" fontId="20" fillId="8" borderId="2" xfId="0" applyFont="1" applyFill="1" applyBorder="1" applyAlignment="1">
      <alignment horizontal="right" vertical="center" wrapText="1"/>
    </xf>
    <xf numFmtId="0" fontId="20" fillId="8" borderId="3" xfId="0" applyFont="1" applyFill="1" applyBorder="1" applyAlignment="1">
      <alignment horizontal="right" vertical="center" wrapText="1"/>
    </xf>
    <xf numFmtId="0" fontId="20" fillId="8" borderId="24" xfId="0" applyFont="1" applyFill="1" applyBorder="1" applyAlignment="1">
      <alignment horizontal="right" vertical="center" wrapText="1"/>
    </xf>
    <xf numFmtId="0" fontId="21" fillId="9" borderId="2" xfId="0" applyFont="1" applyFill="1" applyBorder="1" applyAlignment="1">
      <alignment horizontal="left" vertical="center" wrapText="1"/>
    </xf>
    <xf numFmtId="0" fontId="21" fillId="9" borderId="3" xfId="0" applyFont="1" applyFill="1" applyBorder="1" applyAlignment="1">
      <alignment horizontal="left" vertical="center" wrapText="1"/>
    </xf>
    <xf numFmtId="0" fontId="21" fillId="9" borderId="25" xfId="0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3" fillId="0" borderId="2" xfId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</cellXfs>
  <cellStyles count="826">
    <cellStyle name="Comma" xfId="279" builtinId="3"/>
    <cellStyle name="Comma 10" xfId="4" xr:uid="{00000000-0005-0000-0000-000000000000}"/>
    <cellStyle name="Comma 10 2" xfId="89" xr:uid="{2B11522D-8543-4775-B6A8-5CD96469E669}"/>
    <cellStyle name="Comma 10 2 2" xfId="227" xr:uid="{D60F74B8-FCFB-4259-AC5D-72003B282627}"/>
    <cellStyle name="Comma 10 2 2 2" xfId="774" xr:uid="{E169F260-967D-4D41-83BF-AEC89335A042}"/>
    <cellStyle name="Comma 10 2 2 3" xfId="501" xr:uid="{6343FDD7-E618-4353-A3D1-5CAB685E71C9}"/>
    <cellStyle name="Comma 10 2 3" xfId="638" xr:uid="{EDBC1D6E-A596-4F07-AC47-2C34A3850C6A}"/>
    <cellStyle name="Comma 10 2 4" xfId="365" xr:uid="{C201C4D1-CFD8-45A0-A4CB-B9578112B532}"/>
    <cellStyle name="Comma 10 3" xfId="61" xr:uid="{6C439A28-5B29-4F53-A8BB-F321EB13CD5C}"/>
    <cellStyle name="Comma 10 3 2" xfId="199" xr:uid="{235EE9BA-D427-4573-A3E2-9A6B803294E4}"/>
    <cellStyle name="Comma 10 3 2 2" xfId="746" xr:uid="{973F44FF-A240-40E2-BFD2-BC6D320FFB1C}"/>
    <cellStyle name="Comma 10 3 2 3" xfId="473" xr:uid="{AF9EE98A-60DE-4EAA-92CC-2AB69302810D}"/>
    <cellStyle name="Comma 10 3 3" xfId="610" xr:uid="{CB68493B-3E19-4F5B-813B-F4ABA4601353}"/>
    <cellStyle name="Comma 10 3 4" xfId="337" xr:uid="{9376705B-8AA4-465C-B623-7E1568B1C13F}"/>
    <cellStyle name="Comma 10 4" xfId="33" xr:uid="{10E10DD4-DF71-4877-9548-A15F9EE58627}"/>
    <cellStyle name="Comma 10 4 2" xfId="171" xr:uid="{E6171509-4994-480C-89C9-E8099B821C6C}"/>
    <cellStyle name="Comma 10 4 2 2" xfId="718" xr:uid="{8CA6D5E4-5D0C-4AF6-A743-6F9CB66E8DC3}"/>
    <cellStyle name="Comma 10 4 2 3" xfId="445" xr:uid="{B00ED704-5A80-4E0D-8802-17332E9842CE}"/>
    <cellStyle name="Comma 10 4 3" xfId="582" xr:uid="{15CF3FAE-FF73-4AF0-BBAD-9EBA6177675F}"/>
    <cellStyle name="Comma 10 4 4" xfId="309" xr:uid="{B6000690-63FD-47A2-9667-9AC629E2070D}"/>
    <cellStyle name="Comma 10 5" xfId="117" xr:uid="{466F56B5-0E6F-4C73-8576-0676933CD604}"/>
    <cellStyle name="Comma 10 5 2" xfId="255" xr:uid="{BDC3A66C-93A6-4CAD-9156-2D4F7CACA067}"/>
    <cellStyle name="Comma 10 5 2 2" xfId="802" xr:uid="{76C3268A-3743-42B0-A9EA-481F16008BCB}"/>
    <cellStyle name="Comma 10 5 2 3" xfId="529" xr:uid="{7AF79E59-5AB9-4CEA-8880-7F179B94D924}"/>
    <cellStyle name="Comma 10 5 3" xfId="666" xr:uid="{032ED824-B579-48C6-A18E-8AEDA1803DA7}"/>
    <cellStyle name="Comma 10 5 4" xfId="393" xr:uid="{50CD0247-902B-4EE6-BE69-49AA5E6BFF93}"/>
    <cellStyle name="Comma 10 6" xfId="145" xr:uid="{C2EAF41E-F235-4A57-B4FE-6B28972178BD}"/>
    <cellStyle name="Comma 10 6 2" xfId="692" xr:uid="{A4FAE87F-E13D-46F8-BF53-A201316D6035}"/>
    <cellStyle name="Comma 10 6 3" xfId="419" xr:uid="{0C6B86D3-7F15-4AEA-92BC-1C32690C5C32}"/>
    <cellStyle name="Comma 10 7" xfId="556" xr:uid="{849E5B69-BF49-427F-826B-DE9B905BE4CA}"/>
    <cellStyle name="Comma 10 8" xfId="283" xr:uid="{0A9ABCDF-561D-4E03-A76C-09BFE4B16802}"/>
    <cellStyle name="Comma 11" xfId="5" xr:uid="{00000000-0005-0000-0000-000001000000}"/>
    <cellStyle name="Comma 11 2" xfId="90" xr:uid="{D0FA204C-0E33-4ECA-90DE-B7A57F7093A2}"/>
    <cellStyle name="Comma 11 2 2" xfId="228" xr:uid="{881F5833-FE9E-4331-816B-E0B5AAD167C6}"/>
    <cellStyle name="Comma 11 2 2 2" xfId="775" xr:uid="{E27E2055-3970-423E-A86A-17CC2579F1D4}"/>
    <cellStyle name="Comma 11 2 2 3" xfId="502" xr:uid="{7C5FBB93-5485-4A66-9E1B-DCAADE067368}"/>
    <cellStyle name="Comma 11 2 3" xfId="639" xr:uid="{DD828399-E0E4-4989-9A87-069B6703B391}"/>
    <cellStyle name="Comma 11 2 4" xfId="366" xr:uid="{4C7763D7-A78E-4458-B90F-78D964E6DBF0}"/>
    <cellStyle name="Comma 11 3" xfId="62" xr:uid="{524FB3B6-9266-4D76-9ED6-F077B726E96F}"/>
    <cellStyle name="Comma 11 3 2" xfId="200" xr:uid="{3CA23012-66B2-4786-8C8C-64F5617B0F12}"/>
    <cellStyle name="Comma 11 3 2 2" xfId="747" xr:uid="{84EAE628-7AA4-48F4-9813-1A5F0CD03B18}"/>
    <cellStyle name="Comma 11 3 2 3" xfId="474" xr:uid="{2A6397B1-E29E-4779-8B71-BFBC6D708123}"/>
    <cellStyle name="Comma 11 3 3" xfId="611" xr:uid="{52FDA40D-1811-442D-8445-F3ADD2AE422B}"/>
    <cellStyle name="Comma 11 3 4" xfId="338" xr:uid="{8E1AE429-93B4-4F79-A726-841A55F0EA74}"/>
    <cellStyle name="Comma 11 4" xfId="34" xr:uid="{F1BFB754-551D-4407-82FF-83391C3B2B53}"/>
    <cellStyle name="Comma 11 4 2" xfId="172" xr:uid="{7DF88672-161C-43AC-9859-28E47913AC85}"/>
    <cellStyle name="Comma 11 4 2 2" xfId="719" xr:uid="{8B9F22AF-4E12-4C78-8848-DCBA8A901BB4}"/>
    <cellStyle name="Comma 11 4 2 3" xfId="446" xr:uid="{2C3CFC5F-2FE0-4E93-AA8E-692B435886A5}"/>
    <cellStyle name="Comma 11 4 3" xfId="583" xr:uid="{4C79EAF2-0075-42FB-86FD-EDC83D4909F5}"/>
    <cellStyle name="Comma 11 4 4" xfId="310" xr:uid="{AD666C20-77E7-4089-9CB1-C473FA175205}"/>
    <cellStyle name="Comma 11 5" xfId="118" xr:uid="{08C7DB38-91D9-411B-B50E-3344C86F7B9F}"/>
    <cellStyle name="Comma 11 5 2" xfId="256" xr:uid="{205854D8-16C0-419B-8E45-B4C726A7E8E1}"/>
    <cellStyle name="Comma 11 5 2 2" xfId="803" xr:uid="{F37CA452-CEB8-46DD-8297-BD392E1FCCB0}"/>
    <cellStyle name="Comma 11 5 2 3" xfId="530" xr:uid="{811AE313-5EBA-456D-A230-1F54686A817F}"/>
    <cellStyle name="Comma 11 5 3" xfId="667" xr:uid="{110B64D3-B9DF-4883-A488-F5C942E7C44F}"/>
    <cellStyle name="Comma 11 5 4" xfId="394" xr:uid="{D2992475-F9E4-4353-B761-A207C7500636}"/>
    <cellStyle name="Comma 11 6" xfId="146" xr:uid="{65A30EE3-D1C7-49C7-9F7F-9640251A1988}"/>
    <cellStyle name="Comma 11 6 2" xfId="693" xr:uid="{4E8D8948-0FEB-4DB0-8349-1C0598D5CCAB}"/>
    <cellStyle name="Comma 11 6 3" xfId="420" xr:uid="{B2A9EBFE-6D3D-4C2D-8344-9A9DAA1D4D54}"/>
    <cellStyle name="Comma 11 7" xfId="557" xr:uid="{58642387-A68E-4D5B-A372-484E30A33257}"/>
    <cellStyle name="Comma 11 8" xfId="284" xr:uid="{34FAACF0-DA4A-459B-8476-78F8DF19A1C3}"/>
    <cellStyle name="Comma 12" xfId="6" xr:uid="{00000000-0005-0000-0000-000002000000}"/>
    <cellStyle name="Comma 12 2" xfId="91" xr:uid="{8D06598E-3C4C-4596-867A-12F1690D2DD9}"/>
    <cellStyle name="Comma 12 2 2" xfId="229" xr:uid="{FDA5B79D-BC37-4F76-AFB4-7D7BBE767F46}"/>
    <cellStyle name="Comma 12 2 2 2" xfId="776" xr:uid="{4A889433-E97A-494C-AC87-5834909BE2C3}"/>
    <cellStyle name="Comma 12 2 2 3" xfId="503" xr:uid="{6350761E-D7E0-4DED-A277-E84E954584B5}"/>
    <cellStyle name="Comma 12 2 3" xfId="640" xr:uid="{FC283849-F699-4411-B102-E71C15CE1EF6}"/>
    <cellStyle name="Comma 12 2 4" xfId="367" xr:uid="{67D110A6-9C8A-49B4-8A28-5DE9D673C622}"/>
    <cellStyle name="Comma 12 3" xfId="63" xr:uid="{EEEF9965-BA94-448E-AB17-E36AB3945F52}"/>
    <cellStyle name="Comma 12 3 2" xfId="201" xr:uid="{7F0203AE-58E0-40EF-8D59-03BDE1626CBC}"/>
    <cellStyle name="Comma 12 3 2 2" xfId="748" xr:uid="{7936683C-BB18-40BE-B61A-28944DAF9923}"/>
    <cellStyle name="Comma 12 3 2 3" xfId="475" xr:uid="{AB42CB86-EB2D-45C9-BF42-7D24E45A6E03}"/>
    <cellStyle name="Comma 12 3 3" xfId="612" xr:uid="{BB75C5E1-84EF-41F8-9147-01DACE58C3AB}"/>
    <cellStyle name="Comma 12 3 4" xfId="339" xr:uid="{32A471B8-0F0F-43B3-840D-EBAA7E6A631D}"/>
    <cellStyle name="Comma 12 4" xfId="35" xr:uid="{0AE7113B-F1B9-47EB-99E8-76A89CD17420}"/>
    <cellStyle name="Comma 12 4 2" xfId="173" xr:uid="{6BCA6FB9-34B4-42FE-8A52-C0E1902721B9}"/>
    <cellStyle name="Comma 12 4 2 2" xfId="720" xr:uid="{C290A07B-1CCB-47E5-AD40-E59BCBC0004C}"/>
    <cellStyle name="Comma 12 4 2 3" xfId="447" xr:uid="{90E4ECDE-590B-4150-9A3D-1B760CAAF383}"/>
    <cellStyle name="Comma 12 4 3" xfId="584" xr:uid="{0615EC74-B725-40A4-BC9B-A01CC6518C6D}"/>
    <cellStyle name="Comma 12 4 4" xfId="311" xr:uid="{AD596B59-870A-4672-BEE0-9E147A244C9D}"/>
    <cellStyle name="Comma 12 5" xfId="119" xr:uid="{4B836881-AA98-477A-A15B-811D0BCDAEFA}"/>
    <cellStyle name="Comma 12 5 2" xfId="257" xr:uid="{CD5852F4-A818-49CE-AD91-01B32B6F49D1}"/>
    <cellStyle name="Comma 12 5 2 2" xfId="804" xr:uid="{1E4006F2-C6A8-47BF-8C48-7DD79C1C91F9}"/>
    <cellStyle name="Comma 12 5 2 3" xfId="531" xr:uid="{B89694F4-5FB7-4831-8B5D-5555E45F478F}"/>
    <cellStyle name="Comma 12 5 3" xfId="668" xr:uid="{208EB91D-830F-4267-99C3-2264E57B0BF8}"/>
    <cellStyle name="Comma 12 5 4" xfId="395" xr:uid="{091AEB02-D71C-4B85-B968-2CCD4CA51950}"/>
    <cellStyle name="Comma 12 6" xfId="147" xr:uid="{75417783-607B-4F02-A8A3-188435FBFB33}"/>
    <cellStyle name="Comma 12 6 2" xfId="694" xr:uid="{1FD2D2E5-407E-4873-8A5F-30A687A75C02}"/>
    <cellStyle name="Comma 12 6 3" xfId="421" xr:uid="{8804BC6C-83BD-4958-AE3D-C2198ACCD13C}"/>
    <cellStyle name="Comma 12 7" xfId="558" xr:uid="{1E5E3427-FE8C-4371-B818-8B013B4A767A}"/>
    <cellStyle name="Comma 12 8" xfId="285" xr:uid="{C00BA9CC-56B2-4D93-A74C-E220C4510CBD}"/>
    <cellStyle name="Comma 13" xfId="7" xr:uid="{00000000-0005-0000-0000-000003000000}"/>
    <cellStyle name="Comma 13 2" xfId="92" xr:uid="{F62DEAA9-4BA7-4B09-930A-C959DE1C8DBF}"/>
    <cellStyle name="Comma 13 2 2" xfId="230" xr:uid="{480C7C5C-FF94-4968-9D2C-CF92F3FE0335}"/>
    <cellStyle name="Comma 13 2 2 2" xfId="777" xr:uid="{29C121C1-3BDA-4591-BAA6-2363CA0ED273}"/>
    <cellStyle name="Comma 13 2 2 3" xfId="504" xr:uid="{032E9318-0A1F-4B34-8A22-72A9977B486B}"/>
    <cellStyle name="Comma 13 2 3" xfId="641" xr:uid="{13438FF2-8151-4299-BF79-0468920B1F63}"/>
    <cellStyle name="Comma 13 2 4" xfId="368" xr:uid="{76ECC7B2-C3B1-420B-AC4D-E9EB81A5F75C}"/>
    <cellStyle name="Comma 13 3" xfId="64" xr:uid="{AE3018DA-9A01-4BC1-B88D-93619510AF50}"/>
    <cellStyle name="Comma 13 3 2" xfId="202" xr:uid="{0EC1C9B1-A7C8-4F5A-ACB2-604964D6B4C1}"/>
    <cellStyle name="Comma 13 3 2 2" xfId="749" xr:uid="{274B149D-7AC0-4A87-9C2A-D2A8BF2873DA}"/>
    <cellStyle name="Comma 13 3 2 3" xfId="476" xr:uid="{57553A6D-6DA6-46C8-8836-32B50804FD29}"/>
    <cellStyle name="Comma 13 3 3" xfId="613" xr:uid="{6C9A82AE-69DB-425D-9A83-FB2048F8E306}"/>
    <cellStyle name="Comma 13 3 4" xfId="340" xr:uid="{D12F6251-072F-4E70-B8DC-55A65672E47E}"/>
    <cellStyle name="Comma 13 4" xfId="36" xr:uid="{56CF0807-438E-488F-A463-E1C60C85B6D3}"/>
    <cellStyle name="Comma 13 4 2" xfId="174" xr:uid="{E8277751-F228-4E80-8157-A811DF26939A}"/>
    <cellStyle name="Comma 13 4 2 2" xfId="721" xr:uid="{15803A71-550C-44E0-9CE2-7AC2AED08BBC}"/>
    <cellStyle name="Comma 13 4 2 3" xfId="448" xr:uid="{79A6B3D9-CF14-4AC2-9336-D1F8D3374C9D}"/>
    <cellStyle name="Comma 13 4 3" xfId="585" xr:uid="{BB5EF017-DE4E-415C-9BD1-565BF1E27842}"/>
    <cellStyle name="Comma 13 4 4" xfId="312" xr:uid="{E98E597A-D309-4A5D-900D-AE5CD4620AA0}"/>
    <cellStyle name="Comma 13 5" xfId="120" xr:uid="{11141CEE-9B46-4089-9EF6-11C2487C5508}"/>
    <cellStyle name="Comma 13 5 2" xfId="258" xr:uid="{AC4E514B-2CF0-43CA-A4A5-5DFB7DF3262A}"/>
    <cellStyle name="Comma 13 5 2 2" xfId="805" xr:uid="{6B23FD32-CB88-4462-9DD0-7D34EB68EAC3}"/>
    <cellStyle name="Comma 13 5 2 3" xfId="532" xr:uid="{25C65974-88D7-4E65-A8F0-795A81AFFDA3}"/>
    <cellStyle name="Comma 13 5 3" xfId="669" xr:uid="{A616544B-3C8C-4A51-B547-63448A842570}"/>
    <cellStyle name="Comma 13 5 4" xfId="396" xr:uid="{49C9519E-4F6E-46E0-8541-908F994458A8}"/>
    <cellStyle name="Comma 13 6" xfId="148" xr:uid="{3F6EC903-AD77-45FF-A58A-D179DC66C611}"/>
    <cellStyle name="Comma 13 6 2" xfId="695" xr:uid="{F50CF535-675E-447E-A917-C919CD803FAB}"/>
    <cellStyle name="Comma 13 6 3" xfId="422" xr:uid="{269D1C60-968F-4D6E-9D65-8039983A83C2}"/>
    <cellStyle name="Comma 13 7" xfId="559" xr:uid="{CB8828A8-F024-41F7-8FC3-1009E29F785D}"/>
    <cellStyle name="Comma 13 8" xfId="286" xr:uid="{AB3AD1F7-D5FE-4F1A-8CEA-D207C4CD3D30}"/>
    <cellStyle name="Comma 14" xfId="8" xr:uid="{00000000-0005-0000-0000-000004000000}"/>
    <cellStyle name="Comma 14 2" xfId="93" xr:uid="{739B0097-24C3-45DB-A8EA-D2942A013F9A}"/>
    <cellStyle name="Comma 14 2 2" xfId="231" xr:uid="{229BE2E5-9BA9-4C44-B7F8-5EA8F0534C04}"/>
    <cellStyle name="Comma 14 2 2 2" xfId="778" xr:uid="{05C455A0-6BB6-4B0B-8023-1F7503E9F82A}"/>
    <cellStyle name="Comma 14 2 2 3" xfId="505" xr:uid="{FDB0ACBE-3E44-488A-AACF-DC686DD71694}"/>
    <cellStyle name="Comma 14 2 3" xfId="642" xr:uid="{FAB0A919-8168-460B-9467-C582D272E622}"/>
    <cellStyle name="Comma 14 2 4" xfId="369" xr:uid="{082760F0-ED37-4F30-B8A1-410083C52768}"/>
    <cellStyle name="Comma 14 3" xfId="65" xr:uid="{7D6501DA-0685-464E-9D5B-F510205E0223}"/>
    <cellStyle name="Comma 14 3 2" xfId="203" xr:uid="{98CFFE2C-804F-40A6-AECD-690428F0603C}"/>
    <cellStyle name="Comma 14 3 2 2" xfId="750" xr:uid="{177FCA9A-D184-49E2-9D01-0617251A4CFE}"/>
    <cellStyle name="Comma 14 3 2 3" xfId="477" xr:uid="{5314CC86-82E6-43B4-BCDA-7A48564D047D}"/>
    <cellStyle name="Comma 14 3 3" xfId="614" xr:uid="{0FC61801-EC64-44D4-982F-88EA2A546168}"/>
    <cellStyle name="Comma 14 3 4" xfId="341" xr:uid="{87C0D5BB-C3B0-487E-9439-DC352055BB6E}"/>
    <cellStyle name="Comma 14 4" xfId="37" xr:uid="{F596FC82-5B39-41D1-84CC-25DBA5CE8681}"/>
    <cellStyle name="Comma 14 4 2" xfId="175" xr:uid="{B29062D5-47B6-4A7E-A1A6-B2A4718903D5}"/>
    <cellStyle name="Comma 14 4 2 2" xfId="722" xr:uid="{EBED4005-C2B6-4F7D-9C0D-E1FED26666B5}"/>
    <cellStyle name="Comma 14 4 2 3" xfId="449" xr:uid="{086E6A19-C3D2-48EC-9EAE-21443B2D13EA}"/>
    <cellStyle name="Comma 14 4 3" xfId="586" xr:uid="{D7928C43-633B-479B-8E1F-88590DA4270B}"/>
    <cellStyle name="Comma 14 4 4" xfId="313" xr:uid="{D596F90A-311C-405B-8FB3-B1A4C54BB8D5}"/>
    <cellStyle name="Comma 14 5" xfId="121" xr:uid="{EBF8F54C-B21C-455C-929E-26677C42E9CD}"/>
    <cellStyle name="Comma 14 5 2" xfId="259" xr:uid="{80CCC2EE-CB31-4D25-A0DF-78B4F0CCDBB7}"/>
    <cellStyle name="Comma 14 5 2 2" xfId="806" xr:uid="{399704B1-F49D-4432-9562-A7BD1FED4AF9}"/>
    <cellStyle name="Comma 14 5 2 3" xfId="533" xr:uid="{2EFCF493-5BA5-42CB-B798-CA8DBB3C3035}"/>
    <cellStyle name="Comma 14 5 3" xfId="670" xr:uid="{21627A98-F455-4064-A953-B528B5274E0F}"/>
    <cellStyle name="Comma 14 5 4" xfId="397" xr:uid="{D09081CA-4BA7-474E-A3AB-D516C207730C}"/>
    <cellStyle name="Comma 14 6" xfId="149" xr:uid="{F54DC420-0760-44C5-86EB-E98B4AC40B87}"/>
    <cellStyle name="Comma 14 6 2" xfId="696" xr:uid="{406A19ED-9378-415A-A7A4-89A29C85FD67}"/>
    <cellStyle name="Comma 14 6 3" xfId="423" xr:uid="{6F6DB1C1-8093-4E16-A870-D993D5D1DB0B}"/>
    <cellStyle name="Comma 14 7" xfId="560" xr:uid="{6BE46E3E-7F43-41EE-B5D6-35DF4D016FCE}"/>
    <cellStyle name="Comma 14 8" xfId="287" xr:uid="{287254B4-030C-43A7-9CE3-167610178464}"/>
    <cellStyle name="Comma 15" xfId="9" xr:uid="{00000000-0005-0000-0000-000005000000}"/>
    <cellStyle name="Comma 15 2" xfId="94" xr:uid="{F99AED99-4816-4CCE-A5ED-BCC6BF08543C}"/>
    <cellStyle name="Comma 15 2 2" xfId="232" xr:uid="{A10896CE-3EA5-4C7D-B360-4A711BD7DB85}"/>
    <cellStyle name="Comma 15 2 2 2" xfId="779" xr:uid="{07BE37B5-946E-4221-81B8-B00E8A61DD57}"/>
    <cellStyle name="Comma 15 2 2 3" xfId="506" xr:uid="{F81F8D0E-46B0-49B3-BD5D-02594818387F}"/>
    <cellStyle name="Comma 15 2 3" xfId="643" xr:uid="{37BA7B2C-82E4-44EF-8AEA-BE1D026E20B3}"/>
    <cellStyle name="Comma 15 2 4" xfId="370" xr:uid="{D2DA60AB-9F05-4D1F-8121-4AB5B7441D16}"/>
    <cellStyle name="Comma 15 3" xfId="66" xr:uid="{1BD7B5AD-80A1-4D62-9C0B-688552206FB2}"/>
    <cellStyle name="Comma 15 3 2" xfId="204" xr:uid="{5417BF43-6B94-496B-AD63-A603444364FD}"/>
    <cellStyle name="Comma 15 3 2 2" xfId="751" xr:uid="{67303EB5-AAFE-46F1-B0C8-F1D94716B6DE}"/>
    <cellStyle name="Comma 15 3 2 3" xfId="478" xr:uid="{9671D3EF-0728-4A3A-9B3F-5C034B2CFA8E}"/>
    <cellStyle name="Comma 15 3 3" xfId="615" xr:uid="{B58080CD-2058-4FFA-9613-6C4C6DFC9916}"/>
    <cellStyle name="Comma 15 3 4" xfId="342" xr:uid="{9281ECE3-3700-4023-9835-2266BD0A7348}"/>
    <cellStyle name="Comma 15 4" xfId="38" xr:uid="{91987478-792E-490E-B5A7-5F4685349C82}"/>
    <cellStyle name="Comma 15 4 2" xfId="176" xr:uid="{F1D1B7F9-2DCA-4104-A0B2-03AC5260F075}"/>
    <cellStyle name="Comma 15 4 2 2" xfId="723" xr:uid="{EF544495-49B0-44B3-9B89-90524C1D9E4B}"/>
    <cellStyle name="Comma 15 4 2 3" xfId="450" xr:uid="{EBAB6571-62BC-4320-B0C3-E1F7D98BDF50}"/>
    <cellStyle name="Comma 15 4 3" xfId="587" xr:uid="{DDC24B9E-69E0-4AEB-84AA-657A7B5D032E}"/>
    <cellStyle name="Comma 15 4 4" xfId="314" xr:uid="{4C19CBA7-96EF-47EF-B252-7725C1D83E83}"/>
    <cellStyle name="Comma 15 5" xfId="122" xr:uid="{08068EC4-831C-4775-9AC6-09894E1DC41A}"/>
    <cellStyle name="Comma 15 5 2" xfId="260" xr:uid="{13583F63-CB56-479E-A6DD-C6BB6C804A7D}"/>
    <cellStyle name="Comma 15 5 2 2" xfId="807" xr:uid="{DE667B78-D20F-4775-954C-4F2CC0F6BC83}"/>
    <cellStyle name="Comma 15 5 2 3" xfId="534" xr:uid="{D026E51C-1114-4072-B927-D75DF11EC818}"/>
    <cellStyle name="Comma 15 5 3" xfId="671" xr:uid="{4DC18282-F349-4B22-9BB7-AB69D06868E9}"/>
    <cellStyle name="Comma 15 5 4" xfId="398" xr:uid="{0B5DB89E-CE61-4FC8-AB52-40BE4008AD6E}"/>
    <cellStyle name="Comma 15 6" xfId="150" xr:uid="{BCA32FF4-F66A-42A0-85AD-7FB108AD2DE2}"/>
    <cellStyle name="Comma 15 6 2" xfId="697" xr:uid="{C7DC8E35-CB27-4A5C-BB47-43CBA323A249}"/>
    <cellStyle name="Comma 15 6 3" xfId="424" xr:uid="{4D2787FD-E5DA-4211-A69A-79A2E87387B2}"/>
    <cellStyle name="Comma 15 7" xfId="561" xr:uid="{9DDB31F7-C083-44D3-93EB-B9F1B1CD1817}"/>
    <cellStyle name="Comma 15 8" xfId="288" xr:uid="{563A4221-0CD5-476C-860F-9E56CC8B9453}"/>
    <cellStyle name="Comma 16" xfId="10" xr:uid="{00000000-0005-0000-0000-000006000000}"/>
    <cellStyle name="Comma 16 2" xfId="95" xr:uid="{97C3CBEB-0E5D-4BFF-929A-5FEB990F6D28}"/>
    <cellStyle name="Comma 16 2 2" xfId="233" xr:uid="{00A45B17-3D7F-4FB3-88E0-8D79AEDFB1CF}"/>
    <cellStyle name="Comma 16 2 2 2" xfId="780" xr:uid="{89BF43FD-578B-432C-83C7-EBC7BA854931}"/>
    <cellStyle name="Comma 16 2 2 3" xfId="507" xr:uid="{860682AC-B665-4F5A-A62D-C482137D3554}"/>
    <cellStyle name="Comma 16 2 3" xfId="644" xr:uid="{368B9E95-26F0-439D-B109-DEDBEA31423F}"/>
    <cellStyle name="Comma 16 2 4" xfId="371" xr:uid="{6D700B23-32AB-4828-9CD8-F3DA22501042}"/>
    <cellStyle name="Comma 16 3" xfId="67" xr:uid="{4D80BCA6-E50D-4FC1-AA53-FCB791DC4330}"/>
    <cellStyle name="Comma 16 3 2" xfId="205" xr:uid="{631180DC-0DD2-4BA8-9506-CE9D7CE5D103}"/>
    <cellStyle name="Comma 16 3 2 2" xfId="752" xr:uid="{E58F0790-85A7-448E-9A7D-6DC98D087719}"/>
    <cellStyle name="Comma 16 3 2 3" xfId="479" xr:uid="{808E9E00-4B3F-48CB-8B11-F3EAB1E7C032}"/>
    <cellStyle name="Comma 16 3 3" xfId="616" xr:uid="{352DAFC1-12CD-4B7B-8B5D-32E804872562}"/>
    <cellStyle name="Comma 16 3 4" xfId="343" xr:uid="{0106E50E-B9BF-41DE-BA67-8086069E95DF}"/>
    <cellStyle name="Comma 16 4" xfId="39" xr:uid="{069BA982-64F9-4D27-8FC6-1686C2DA6DF9}"/>
    <cellStyle name="Comma 16 4 2" xfId="177" xr:uid="{0AD2BE3B-EBE6-4B3E-8543-9D96373EE2D9}"/>
    <cellStyle name="Comma 16 4 2 2" xfId="724" xr:uid="{6BF3533B-BD82-4ADA-BD55-8AC511A7CD06}"/>
    <cellStyle name="Comma 16 4 2 3" xfId="451" xr:uid="{4C0696A5-A04A-47DB-9695-566545358583}"/>
    <cellStyle name="Comma 16 4 3" xfId="588" xr:uid="{D14C4075-B6D1-432A-BE10-3DD5D364953F}"/>
    <cellStyle name="Comma 16 4 4" xfId="315" xr:uid="{C35C776F-2B7F-43B3-9E06-1EDD9AF0C674}"/>
    <cellStyle name="Comma 16 5" xfId="123" xr:uid="{3B7E2EF7-E9A8-4293-90F0-1D43A2EB2D7E}"/>
    <cellStyle name="Comma 16 5 2" xfId="261" xr:uid="{C4A1C6B6-DF3A-4ED0-A493-3C40BB82A7B0}"/>
    <cellStyle name="Comma 16 5 2 2" xfId="808" xr:uid="{F36983C9-2B34-4A7D-81B5-BE34BBBB7F39}"/>
    <cellStyle name="Comma 16 5 2 3" xfId="535" xr:uid="{EE4F574F-D762-409A-9D45-2F230F2B130B}"/>
    <cellStyle name="Comma 16 5 3" xfId="672" xr:uid="{A84376F0-0DBD-4495-A59A-ADFAE0FD27F5}"/>
    <cellStyle name="Comma 16 5 4" xfId="399" xr:uid="{DD3755D7-C524-47B5-A568-28AB1241A576}"/>
    <cellStyle name="Comma 16 6" xfId="151" xr:uid="{C353CDDD-9B4C-404A-9507-BC5447CC56DD}"/>
    <cellStyle name="Comma 16 6 2" xfId="698" xr:uid="{A6BB3C1F-8838-40A3-9B13-586AA25D0F5E}"/>
    <cellStyle name="Comma 16 6 3" xfId="425" xr:uid="{BD5BDE87-A187-40E9-B506-43DE1FB1CD32}"/>
    <cellStyle name="Comma 16 7" xfId="562" xr:uid="{B2893423-A703-4103-9D33-FE26B288AF1D}"/>
    <cellStyle name="Comma 16 8" xfId="289" xr:uid="{80DE1ABA-021F-41A9-835D-57FE1C771965}"/>
    <cellStyle name="Comma 17" xfId="11" xr:uid="{00000000-0005-0000-0000-000007000000}"/>
    <cellStyle name="Comma 17 2" xfId="96" xr:uid="{704C6C85-9DDE-4DE0-9E66-CAA5160BFBEF}"/>
    <cellStyle name="Comma 17 2 2" xfId="234" xr:uid="{09CF791D-E714-4E93-BE67-7C875618F5E9}"/>
    <cellStyle name="Comma 17 2 2 2" xfId="781" xr:uid="{1A04A2D8-A1C3-4AF7-95FD-DE7238EFDFB4}"/>
    <cellStyle name="Comma 17 2 2 3" xfId="508" xr:uid="{1F41C1E7-CAED-4FD1-89BE-E55DA943592C}"/>
    <cellStyle name="Comma 17 2 3" xfId="645" xr:uid="{534C0DB4-086E-41E2-9EC4-835EB134F905}"/>
    <cellStyle name="Comma 17 2 4" xfId="372" xr:uid="{ED4CD228-8D0D-40B1-8CBF-508F6001F84D}"/>
    <cellStyle name="Comma 17 3" xfId="68" xr:uid="{312FB123-F532-45A1-87A8-C24FB5840E72}"/>
    <cellStyle name="Comma 17 3 2" xfId="206" xr:uid="{6172B760-EA8D-427A-8FE7-12700AACF238}"/>
    <cellStyle name="Comma 17 3 2 2" xfId="753" xr:uid="{FFBE9CE7-4A8A-4770-822D-1AEBF62D4831}"/>
    <cellStyle name="Comma 17 3 2 3" xfId="480" xr:uid="{4CCD6BB7-DFD9-4F12-8BE3-EEA507A2D16E}"/>
    <cellStyle name="Comma 17 3 3" xfId="617" xr:uid="{195CAB1E-148A-4D0A-AEBF-666001769529}"/>
    <cellStyle name="Comma 17 3 4" xfId="344" xr:uid="{8407EC47-E9FA-416B-9FFF-865D7EBC4AAE}"/>
    <cellStyle name="Comma 17 4" xfId="40" xr:uid="{8758B560-90F3-4FEB-85D9-AEB6494E9143}"/>
    <cellStyle name="Comma 17 4 2" xfId="178" xr:uid="{38AB0EA5-B4E3-4DA6-B90C-E17BBBF88CD5}"/>
    <cellStyle name="Comma 17 4 2 2" xfId="725" xr:uid="{73F1DC16-2783-44EB-BA37-5F954C6ED055}"/>
    <cellStyle name="Comma 17 4 2 3" xfId="452" xr:uid="{2219CC29-C269-4CF0-AA31-C6604B357CEE}"/>
    <cellStyle name="Comma 17 4 3" xfId="589" xr:uid="{9666FE18-44E0-4B67-96D8-68085B39D39A}"/>
    <cellStyle name="Comma 17 4 4" xfId="316" xr:uid="{3E7E6C10-7D58-4074-B61B-88710A4B26CA}"/>
    <cellStyle name="Comma 17 5" xfId="124" xr:uid="{225CAD9B-2163-4817-8950-D7A75781461C}"/>
    <cellStyle name="Comma 17 5 2" xfId="262" xr:uid="{8522FDF5-CD74-45EB-AA7B-A7A31DBC1BB8}"/>
    <cellStyle name="Comma 17 5 2 2" xfId="809" xr:uid="{9F4D2D49-462A-4C11-8EB8-1CB7AD2349FC}"/>
    <cellStyle name="Comma 17 5 2 3" xfId="536" xr:uid="{974A23D9-6DEF-4E5F-BF03-837E77438676}"/>
    <cellStyle name="Comma 17 5 3" xfId="673" xr:uid="{20EF9AF9-EFF3-4196-8A27-91350C652D92}"/>
    <cellStyle name="Comma 17 5 4" xfId="400" xr:uid="{D686A03F-9CA1-4090-A413-8D28F1A346F1}"/>
    <cellStyle name="Comma 17 6" xfId="152" xr:uid="{216DC84A-E2AD-4DD6-A53E-2AFD97D31967}"/>
    <cellStyle name="Comma 17 6 2" xfId="699" xr:uid="{0302F90F-AE90-45AB-A637-F40D2A7EA995}"/>
    <cellStyle name="Comma 17 6 3" xfId="426" xr:uid="{08753518-A748-4964-84AB-A0D1A415BA05}"/>
    <cellStyle name="Comma 17 7" xfId="563" xr:uid="{CB56EA49-52A6-4B41-BEA0-9B15D6081696}"/>
    <cellStyle name="Comma 17 8" xfId="290" xr:uid="{74D974B7-5A99-40DF-A33C-65E2F81B00FC}"/>
    <cellStyle name="Comma 18" xfId="12" xr:uid="{00000000-0005-0000-0000-000008000000}"/>
    <cellStyle name="Comma 18 2" xfId="97" xr:uid="{827F01F1-EE60-47CE-8E1A-FEB508D2ECA9}"/>
    <cellStyle name="Comma 18 2 2" xfId="235" xr:uid="{43BB709F-862C-4F07-8846-B726DCF80369}"/>
    <cellStyle name="Comma 18 2 2 2" xfId="782" xr:uid="{878275E0-9894-42F9-A661-CB88DB7BEC31}"/>
    <cellStyle name="Comma 18 2 2 3" xfId="509" xr:uid="{F17C134A-8B66-4D88-9E37-FFC28C95771B}"/>
    <cellStyle name="Comma 18 2 3" xfId="646" xr:uid="{0F6BF2F5-E560-4591-8E3A-8556AF94D7FD}"/>
    <cellStyle name="Comma 18 2 4" xfId="373" xr:uid="{ABA42403-932D-45E6-B1EA-5810DFBC01EC}"/>
    <cellStyle name="Comma 18 3" xfId="69" xr:uid="{3CD1E384-278A-4F51-9E38-956666DF7B52}"/>
    <cellStyle name="Comma 18 3 2" xfId="207" xr:uid="{95C2EB24-0666-4DDD-92D7-C9EAF2BBCB1A}"/>
    <cellStyle name="Comma 18 3 2 2" xfId="754" xr:uid="{64F59AD3-D75D-42C9-A04B-FE5189501090}"/>
    <cellStyle name="Comma 18 3 2 3" xfId="481" xr:uid="{CA364615-B779-4A39-ADC7-30DA086F9405}"/>
    <cellStyle name="Comma 18 3 3" xfId="618" xr:uid="{3EEB3A81-12F2-4BCE-8927-C1423D8CE979}"/>
    <cellStyle name="Comma 18 3 4" xfId="345" xr:uid="{17B4EA66-B1CD-49B6-A984-EDE45EE1B3EE}"/>
    <cellStyle name="Comma 18 4" xfId="41" xr:uid="{A7F91894-AC2B-4FC9-A188-A19B2E3BF54F}"/>
    <cellStyle name="Comma 18 4 2" xfId="179" xr:uid="{9C6703C9-EEAD-4BF6-9FCC-FD8F9BA94CDE}"/>
    <cellStyle name="Comma 18 4 2 2" xfId="726" xr:uid="{F738E358-3596-45CD-88D0-486C0EC772D7}"/>
    <cellStyle name="Comma 18 4 2 3" xfId="453" xr:uid="{7F25F178-E373-451E-87A6-D4EAC7FB5C23}"/>
    <cellStyle name="Comma 18 4 3" xfId="590" xr:uid="{419F1CAB-BE7E-4930-90C2-5DC95C152FA2}"/>
    <cellStyle name="Comma 18 4 4" xfId="317" xr:uid="{2E54E9DC-51FE-416B-AC59-6F1A00A71BE8}"/>
    <cellStyle name="Comma 18 5" xfId="125" xr:uid="{4AB47F36-5409-4BBF-9C35-74CBC8DEE915}"/>
    <cellStyle name="Comma 18 5 2" xfId="263" xr:uid="{A170E6CC-8B87-4F66-AC23-3228F0FD276C}"/>
    <cellStyle name="Comma 18 5 2 2" xfId="810" xr:uid="{D641236F-F750-45DC-9F40-6E9D8B41E81B}"/>
    <cellStyle name="Comma 18 5 2 3" xfId="537" xr:uid="{CC6C72D9-E5F8-45C6-8CA0-821C27A882B1}"/>
    <cellStyle name="Comma 18 5 3" xfId="674" xr:uid="{29290C00-CA3A-45B5-AD13-71B2C2A42E38}"/>
    <cellStyle name="Comma 18 5 4" xfId="401" xr:uid="{CD603169-6FA3-4349-AC7E-4A9D41D2E67A}"/>
    <cellStyle name="Comma 18 6" xfId="153" xr:uid="{B3F6E285-E398-4238-9109-41DC8DCB5DF3}"/>
    <cellStyle name="Comma 18 6 2" xfId="700" xr:uid="{4B569118-4F3B-4F8C-867D-9560F0295835}"/>
    <cellStyle name="Comma 18 6 3" xfId="427" xr:uid="{ABFBA3F2-F174-48B3-A439-88E2219DEBAB}"/>
    <cellStyle name="Comma 18 7" xfId="564" xr:uid="{162B6E13-1C36-413A-9507-751DD971B54B}"/>
    <cellStyle name="Comma 18 8" xfId="291" xr:uid="{97C0D3BC-EE2D-42B6-BAE8-36DB668B8686}"/>
    <cellStyle name="Comma 19" xfId="13" xr:uid="{00000000-0005-0000-0000-000009000000}"/>
    <cellStyle name="Comma 19 2" xfId="98" xr:uid="{C0FAA340-681C-49B9-8B9D-F0A9C01AE0FE}"/>
    <cellStyle name="Comma 19 2 2" xfId="236" xr:uid="{6B735391-D3E0-422A-9D74-94B48BF37C25}"/>
    <cellStyle name="Comma 19 2 2 2" xfId="783" xr:uid="{049190C6-3E0E-4276-A22C-0B6D7C0DF5CE}"/>
    <cellStyle name="Comma 19 2 2 3" xfId="510" xr:uid="{492F0C67-5F28-4F30-93EE-4E56D971CCD4}"/>
    <cellStyle name="Comma 19 2 3" xfId="647" xr:uid="{5F1E768C-BD7B-4AB6-BDCA-E04861739B79}"/>
    <cellStyle name="Comma 19 2 4" xfId="374" xr:uid="{CD1F3D49-2F87-47B2-AD19-3B7D0C92B9F0}"/>
    <cellStyle name="Comma 19 3" xfId="70" xr:uid="{95F6EA1B-0E50-408E-919D-53D151B81708}"/>
    <cellStyle name="Comma 19 3 2" xfId="208" xr:uid="{F83D5B7A-021F-4C0F-BC74-054CDF1925B6}"/>
    <cellStyle name="Comma 19 3 2 2" xfId="755" xr:uid="{90191742-4F19-4FFC-B454-1D575C1C9A70}"/>
    <cellStyle name="Comma 19 3 2 3" xfId="482" xr:uid="{164F1D29-6642-4684-8B33-DB435B98C008}"/>
    <cellStyle name="Comma 19 3 3" xfId="619" xr:uid="{60D7E4A2-CD88-4EB0-BEA7-7B1FCB778914}"/>
    <cellStyle name="Comma 19 3 4" xfId="346" xr:uid="{28013DF7-6FA5-47CB-9631-BE3B028A68A1}"/>
    <cellStyle name="Comma 19 4" xfId="42" xr:uid="{49374190-291F-4ED0-AE10-5833E42EDEA2}"/>
    <cellStyle name="Comma 19 4 2" xfId="180" xr:uid="{B878AAA1-EA52-41BF-964E-777ED13086B4}"/>
    <cellStyle name="Comma 19 4 2 2" xfId="727" xr:uid="{C2BAB70C-578B-4D8F-B1CF-8851257DB89D}"/>
    <cellStyle name="Comma 19 4 2 3" xfId="454" xr:uid="{0D6B0880-08C4-4C4D-85BC-2EE4110EE699}"/>
    <cellStyle name="Comma 19 4 3" xfId="591" xr:uid="{0170E377-DB45-4528-82E9-D44EEDCC8BDB}"/>
    <cellStyle name="Comma 19 4 4" xfId="318" xr:uid="{A03F0FE1-0178-4E88-9079-0B75A6B9CC82}"/>
    <cellStyle name="Comma 19 5" xfId="126" xr:uid="{EC33CCC7-AC1D-456B-8055-3DEC58660CC1}"/>
    <cellStyle name="Comma 19 5 2" xfId="264" xr:uid="{5FEAB898-A6C0-4380-A30C-486528AD67DC}"/>
    <cellStyle name="Comma 19 5 2 2" xfId="811" xr:uid="{396DFBD0-4793-475A-92AF-8063EBD3011D}"/>
    <cellStyle name="Comma 19 5 2 3" xfId="538" xr:uid="{C1EDCCC1-ABAE-4DE9-9117-8C812327EC48}"/>
    <cellStyle name="Comma 19 5 3" xfId="675" xr:uid="{2176FF9E-ED51-480F-87F8-4A647AD11884}"/>
    <cellStyle name="Comma 19 5 4" xfId="402" xr:uid="{C3319D4A-B7F8-4ED8-8B06-47128AF42573}"/>
    <cellStyle name="Comma 19 6" xfId="154" xr:uid="{28F9E53E-5363-4936-A3DF-BE0C92CA3DE2}"/>
    <cellStyle name="Comma 19 6 2" xfId="701" xr:uid="{1BC3DABB-8F4E-4D5B-A45F-AD1E6296A307}"/>
    <cellStyle name="Comma 19 6 3" xfId="428" xr:uid="{D952C4AE-216A-432E-9C8C-2F873A917C8C}"/>
    <cellStyle name="Comma 19 7" xfId="565" xr:uid="{BE16C38C-2905-45B4-A206-51E7445E87A3}"/>
    <cellStyle name="Comma 19 8" xfId="292" xr:uid="{B554BB2B-173C-45C4-9AAA-73DAE9615E24}"/>
    <cellStyle name="Comma 2" xfId="3" xr:uid="{00000000-0005-0000-0000-00000A000000}"/>
    <cellStyle name="Comma 2 2" xfId="30" xr:uid="{00000000-0005-0000-0000-00000B000000}"/>
    <cellStyle name="Comma 2 2 2" xfId="114" xr:uid="{0ABF8433-C0C2-47C7-8764-1489EFED57B3}"/>
    <cellStyle name="Comma 2 2 2 2" xfId="252" xr:uid="{17FE130A-5288-436D-B666-F7056C77294A}"/>
    <cellStyle name="Comma 2 2 2 2 2" xfId="799" xr:uid="{0C9009A6-D92F-4108-BA0F-B9944D699E9C}"/>
    <cellStyle name="Comma 2 2 2 2 3" xfId="526" xr:uid="{BC612CB8-B12E-4C81-95C1-0B968D3378D9}"/>
    <cellStyle name="Comma 2 2 2 3" xfId="663" xr:uid="{471A58D5-DA93-4022-907C-891C3C8625E9}"/>
    <cellStyle name="Comma 2 2 2 4" xfId="390" xr:uid="{F690A51B-00A1-493D-A1D8-78EEA4F95706}"/>
    <cellStyle name="Comma 2 2 3" xfId="86" xr:uid="{9D714533-D75D-4457-A138-65D9826E7426}"/>
    <cellStyle name="Comma 2 2 3 2" xfId="224" xr:uid="{A3FD2508-4CBA-4B08-9232-BC2D5E110BE1}"/>
    <cellStyle name="Comma 2 2 3 2 2" xfId="771" xr:uid="{7AC6D909-53B3-479E-B1F1-655F9D422D2E}"/>
    <cellStyle name="Comma 2 2 3 2 3" xfId="498" xr:uid="{F57D37FE-8FDC-4B29-A9BF-B8FC9DC7D1CF}"/>
    <cellStyle name="Comma 2 2 3 3" xfId="635" xr:uid="{2DE766AB-E68F-46E7-89A8-21E14078EA2D}"/>
    <cellStyle name="Comma 2 2 3 4" xfId="362" xr:uid="{4415B248-66E1-4DF1-8FE4-C08B3003FC0B}"/>
    <cellStyle name="Comma 2 2 4" xfId="58" xr:uid="{D7DA52C2-E61A-4FA5-8250-8AAF96908BB0}"/>
    <cellStyle name="Comma 2 2 4 2" xfId="196" xr:uid="{3F983A7D-4EEE-4691-989A-A20FDC6943C2}"/>
    <cellStyle name="Comma 2 2 4 2 2" xfId="743" xr:uid="{9A65877D-E637-4265-87B0-87A4C53046FA}"/>
    <cellStyle name="Comma 2 2 4 2 3" xfId="470" xr:uid="{E649AD6B-E582-4BCE-9E8F-A8C6FD2AC9B0}"/>
    <cellStyle name="Comma 2 2 4 3" xfId="607" xr:uid="{8D3DC45E-1915-4A63-A844-69CEA98435D3}"/>
    <cellStyle name="Comma 2 2 4 4" xfId="334" xr:uid="{1CEC422A-F6E5-4134-92F5-9FC8CA0F8BA6}"/>
    <cellStyle name="Comma 2 3" xfId="88" xr:uid="{B6AA4568-96B4-4D94-8A5C-A7E2343EBBE1}"/>
    <cellStyle name="Comma 2 3 2" xfId="226" xr:uid="{8B1D112D-6855-4B3E-97B0-057DD61F8837}"/>
    <cellStyle name="Comma 2 3 2 2" xfId="773" xr:uid="{94366D1A-9F26-40D1-BC55-8ABCE8B02ED6}"/>
    <cellStyle name="Comma 2 3 2 3" xfId="500" xr:uid="{06EACA69-EC67-4EF1-B934-07A81F185707}"/>
    <cellStyle name="Comma 2 3 3" xfId="637" xr:uid="{07CE81DE-C54F-4BC7-9D7D-0165F351BA97}"/>
    <cellStyle name="Comma 2 3 4" xfId="364" xr:uid="{62494BCE-5E97-4AFE-A302-197458F82014}"/>
    <cellStyle name="Comma 2 4" xfId="60" xr:uid="{4E872A1A-4F9C-4428-9C41-28DB1985DB80}"/>
    <cellStyle name="Comma 2 4 2" xfId="198" xr:uid="{598D256C-206D-4653-82D5-31D0D4FD39FA}"/>
    <cellStyle name="Comma 2 4 2 2" xfId="745" xr:uid="{BADC40B7-7FCE-4A83-BDA2-B538321A8093}"/>
    <cellStyle name="Comma 2 4 2 3" xfId="472" xr:uid="{99D87531-6548-4D61-BFAF-39374386E257}"/>
    <cellStyle name="Comma 2 4 3" xfId="609" xr:uid="{548349F9-0E42-4438-9E05-032E112DFEB5}"/>
    <cellStyle name="Comma 2 4 4" xfId="336" xr:uid="{63F54F98-698C-474D-A5ED-038844DBEEF8}"/>
    <cellStyle name="Comma 2 5" xfId="32" xr:uid="{4EDFF158-0393-4A00-A33E-B0095191F78E}"/>
    <cellStyle name="Comma 2 5 2" xfId="170" xr:uid="{D5D301F4-0AD3-43A9-B29D-03ABDBD0999B}"/>
    <cellStyle name="Comma 2 5 2 2" xfId="717" xr:uid="{004F9985-AE84-4447-892E-C7C9EFEC0C6C}"/>
    <cellStyle name="Comma 2 5 2 3" xfId="444" xr:uid="{948FA999-821B-4E78-9E49-078F49C85668}"/>
    <cellStyle name="Comma 2 5 3" xfId="581" xr:uid="{D43359C8-B99D-4A8D-8FD0-4A54047D20FD}"/>
    <cellStyle name="Comma 2 5 4" xfId="308" xr:uid="{A6B80A96-94F3-40B8-8927-9483ADF63738}"/>
    <cellStyle name="Comma 2 6" xfId="116" xr:uid="{7C5413CB-8DF0-41F6-8F18-973A7CF7639B}"/>
    <cellStyle name="Comma 2 6 2" xfId="254" xr:uid="{06D97AF1-ED98-48E6-BB4D-6B5A5E8F21F1}"/>
    <cellStyle name="Comma 2 6 2 2" xfId="801" xr:uid="{50F5BAF7-F5D4-422C-B1D0-62F6628D38BB}"/>
    <cellStyle name="Comma 2 6 2 3" xfId="528" xr:uid="{1AD9B7A5-4539-4642-8788-ADAC4811734C}"/>
    <cellStyle name="Comma 2 6 3" xfId="665" xr:uid="{2E1A20F6-049F-4647-8A88-0D9118F9A661}"/>
    <cellStyle name="Comma 2 6 4" xfId="392" xr:uid="{675C8E95-6E56-428C-9ECC-E8ED20423327}"/>
    <cellStyle name="Comma 2 7" xfId="144" xr:uid="{5EE53AC3-7C88-4654-A777-E01165760E25}"/>
    <cellStyle name="Comma 2 7 2" xfId="691" xr:uid="{518267E5-EB97-4E1D-AC2B-CC7D5A5BF746}"/>
    <cellStyle name="Comma 2 7 3" xfId="418" xr:uid="{867DCE03-DAB9-4455-BDB7-6B1540373D79}"/>
    <cellStyle name="Comma 2 8" xfId="555" xr:uid="{1685EA4D-E3B8-4D6F-A016-4AC27DF785E9}"/>
    <cellStyle name="Comma 2 9" xfId="282" xr:uid="{AFF79EDF-CB19-4E11-882D-FD917785CD30}"/>
    <cellStyle name="Comma 20" xfId="14" xr:uid="{00000000-0005-0000-0000-00000C000000}"/>
    <cellStyle name="Comma 20 2" xfId="99" xr:uid="{DF2B366E-A6AA-487B-A15D-851E795DA1D4}"/>
    <cellStyle name="Comma 20 2 2" xfId="237" xr:uid="{3C8F1EE9-D3A9-4B89-A467-6F892ED6B5BE}"/>
    <cellStyle name="Comma 20 2 2 2" xfId="784" xr:uid="{BC325E94-2248-4EE2-80F8-54BC3F2E7941}"/>
    <cellStyle name="Comma 20 2 2 3" xfId="511" xr:uid="{22CC12C0-D8EE-463D-9D9A-9F730936E05A}"/>
    <cellStyle name="Comma 20 2 3" xfId="648" xr:uid="{B6C4A32D-7D70-436D-AFCA-07ECF2E307C2}"/>
    <cellStyle name="Comma 20 2 4" xfId="375" xr:uid="{256EABE9-382E-47D9-A9FA-929F1AAE2CC7}"/>
    <cellStyle name="Comma 20 3" xfId="71" xr:uid="{735A17D1-1595-4EDD-9BB4-C3BAA5346D5D}"/>
    <cellStyle name="Comma 20 3 2" xfId="209" xr:uid="{D7F902B9-FE78-4FB0-AC5C-800A51944CB5}"/>
    <cellStyle name="Comma 20 3 2 2" xfId="756" xr:uid="{F3266315-7C33-4E14-B416-015D2CA01A1E}"/>
    <cellStyle name="Comma 20 3 2 3" xfId="483" xr:uid="{4E2DECF6-BFB2-4CA6-99D3-0B3E4A96A2F1}"/>
    <cellStyle name="Comma 20 3 3" xfId="620" xr:uid="{0FFC7FF4-2DC1-47A7-B203-DB50CE1F8558}"/>
    <cellStyle name="Comma 20 3 4" xfId="347" xr:uid="{66A13156-EDE0-45FA-B91A-0FF612FD3BEE}"/>
    <cellStyle name="Comma 20 4" xfId="43" xr:uid="{D7D2ED04-9E70-4F30-8C69-66FC88FA037A}"/>
    <cellStyle name="Comma 20 4 2" xfId="181" xr:uid="{2F97FBDD-0F89-4E2F-A154-4B159A1A1599}"/>
    <cellStyle name="Comma 20 4 2 2" xfId="728" xr:uid="{645FEA8C-A9F1-4EF0-B73C-C69BAD29244A}"/>
    <cellStyle name="Comma 20 4 2 3" xfId="455" xr:uid="{558DFE21-C23F-42B3-82C1-B4DF7F96C5FF}"/>
    <cellStyle name="Comma 20 4 3" xfId="592" xr:uid="{5DA3B2D4-A475-4585-8D8D-745B2A585F89}"/>
    <cellStyle name="Comma 20 4 4" xfId="319" xr:uid="{739D3BEF-6435-4A47-80CE-44C296BF7C7F}"/>
    <cellStyle name="Comma 20 5" xfId="127" xr:uid="{95402DA3-3626-4CAC-8C21-A06491663190}"/>
    <cellStyle name="Comma 20 5 2" xfId="265" xr:uid="{EA61C23C-8DCC-4575-BC87-3F5FBF742889}"/>
    <cellStyle name="Comma 20 5 2 2" xfId="812" xr:uid="{1B79CCFE-FBA0-4298-840C-025D8AC56599}"/>
    <cellStyle name="Comma 20 5 2 3" xfId="539" xr:uid="{9F258306-F387-4AD2-9520-566EF9F53B4C}"/>
    <cellStyle name="Comma 20 5 3" xfId="676" xr:uid="{91FF1D0E-84CD-485D-9AEF-4B4F200A6C96}"/>
    <cellStyle name="Comma 20 5 4" xfId="403" xr:uid="{5D299325-20F0-4A48-B913-A9B8423DA40D}"/>
    <cellStyle name="Comma 20 6" xfId="155" xr:uid="{84AEB395-6645-484B-815B-134ACBEACD01}"/>
    <cellStyle name="Comma 20 6 2" xfId="702" xr:uid="{E8B0C5A3-69A7-4D22-811F-38A975F92CD8}"/>
    <cellStyle name="Comma 20 6 3" xfId="429" xr:uid="{C305CF1C-48E7-4597-BFED-5F5758510495}"/>
    <cellStyle name="Comma 20 7" xfId="566" xr:uid="{9591F9DC-3640-4EA3-B13E-5771D56A3AF0}"/>
    <cellStyle name="Comma 20 8" xfId="293" xr:uid="{A744BD30-AC12-4EDF-B42C-B1922C458441}"/>
    <cellStyle name="Comma 21" xfId="15" xr:uid="{00000000-0005-0000-0000-00000D000000}"/>
    <cellStyle name="Comma 21 2" xfId="100" xr:uid="{B24177DB-9066-40A2-8B5A-4267F9087E3C}"/>
    <cellStyle name="Comma 21 2 2" xfId="238" xr:uid="{ECF41A5A-9045-44D4-872B-272BC8B7C3F5}"/>
    <cellStyle name="Comma 21 2 2 2" xfId="785" xr:uid="{6F1E14B5-3E4F-46E5-B86C-1795647C9B19}"/>
    <cellStyle name="Comma 21 2 2 3" xfId="512" xr:uid="{EF287F69-9ED4-4BC4-82D4-2B26BE09949E}"/>
    <cellStyle name="Comma 21 2 3" xfId="649" xr:uid="{2680DFA2-6C19-4B13-B2D8-C25AFAA09B98}"/>
    <cellStyle name="Comma 21 2 4" xfId="376" xr:uid="{7B480252-16C2-4093-869C-66CFE2C73142}"/>
    <cellStyle name="Comma 21 3" xfId="72" xr:uid="{2FF25CB1-D518-4C8A-B6BB-4EEE56C56DB6}"/>
    <cellStyle name="Comma 21 3 2" xfId="210" xr:uid="{5EA80632-6159-4A08-950A-BFC588C4A457}"/>
    <cellStyle name="Comma 21 3 2 2" xfId="757" xr:uid="{C070AD63-9DD7-4DBD-A13B-9805D2CF5335}"/>
    <cellStyle name="Comma 21 3 2 3" xfId="484" xr:uid="{EE89F5C3-5FAD-4C9F-A073-4918C94CF842}"/>
    <cellStyle name="Comma 21 3 3" xfId="621" xr:uid="{2837E339-303D-4829-8A2F-27E7E1D4EC22}"/>
    <cellStyle name="Comma 21 3 4" xfId="348" xr:uid="{C5FA79F1-3BAE-4CC9-BB1A-3B01E92F1433}"/>
    <cellStyle name="Comma 21 4" xfId="44" xr:uid="{C2FF682C-10A1-43BD-B196-9EF28D7BAF7C}"/>
    <cellStyle name="Comma 21 4 2" xfId="182" xr:uid="{CEE0D0B1-AA5A-4EEE-AC8D-FD1E185E3D61}"/>
    <cellStyle name="Comma 21 4 2 2" xfId="729" xr:uid="{BEFF71CC-7C8B-4679-AE17-7E0EFC18D9DD}"/>
    <cellStyle name="Comma 21 4 2 3" xfId="456" xr:uid="{A64A65DA-BC9A-4235-9B50-FC6AE4A80838}"/>
    <cellStyle name="Comma 21 4 3" xfId="593" xr:uid="{FD19C13D-AF54-4D56-92D4-8A1BAA3E868A}"/>
    <cellStyle name="Comma 21 4 4" xfId="320" xr:uid="{45DEA21F-30F2-47A3-B4DB-0AAB35722E61}"/>
    <cellStyle name="Comma 21 5" xfId="128" xr:uid="{625CA248-AA12-4EB0-86CF-A04ECEF90EC6}"/>
    <cellStyle name="Comma 21 5 2" xfId="266" xr:uid="{60B1452C-3613-4826-9219-66916EA89A0C}"/>
    <cellStyle name="Comma 21 5 2 2" xfId="813" xr:uid="{B22E3EA0-9DDF-43FB-80D0-AF47C2FF755B}"/>
    <cellStyle name="Comma 21 5 2 3" xfId="540" xr:uid="{5C1A8048-5B31-4AC5-B433-B1095AE9A65D}"/>
    <cellStyle name="Comma 21 5 3" xfId="677" xr:uid="{7C46837C-E404-4B52-93E1-2D9E74802539}"/>
    <cellStyle name="Comma 21 5 4" xfId="404" xr:uid="{9AB3F920-7C88-474A-B28E-EA54F62B4DF6}"/>
    <cellStyle name="Comma 21 6" xfId="156" xr:uid="{32D5C4D3-6581-44D3-9F13-5D0B3E5AB981}"/>
    <cellStyle name="Comma 21 6 2" xfId="703" xr:uid="{EB9CD42B-AD08-4793-9907-63319CED70DE}"/>
    <cellStyle name="Comma 21 6 3" xfId="430" xr:uid="{548BD365-966E-454A-92F4-577FBBB94536}"/>
    <cellStyle name="Comma 21 7" xfId="567" xr:uid="{06288B7A-D419-4720-B5A4-11CE43EF8040}"/>
    <cellStyle name="Comma 21 8" xfId="294" xr:uid="{B6C70B85-3572-4E6B-8974-8E2AD757756C}"/>
    <cellStyle name="Comma 22" xfId="16" xr:uid="{00000000-0005-0000-0000-00000E000000}"/>
    <cellStyle name="Comma 22 2" xfId="101" xr:uid="{8561EFC9-4DC8-4D88-8465-57A774326CF7}"/>
    <cellStyle name="Comma 22 2 2" xfId="239" xr:uid="{3FDBF3AD-D2C4-4BDD-BF02-82423346B226}"/>
    <cellStyle name="Comma 22 2 2 2" xfId="786" xr:uid="{EA649A66-5B80-476C-AA69-23853DBB2C40}"/>
    <cellStyle name="Comma 22 2 2 3" xfId="513" xr:uid="{A04898C1-B84A-49E7-878E-4C49DB647ECB}"/>
    <cellStyle name="Comma 22 2 3" xfId="650" xr:uid="{2396A879-3B43-47B9-987A-D07F5F088F01}"/>
    <cellStyle name="Comma 22 2 4" xfId="377" xr:uid="{132C3371-9775-43D0-9AAC-DDC2500169F8}"/>
    <cellStyle name="Comma 22 3" xfId="73" xr:uid="{49FF04EC-166D-4299-8646-22BF8C436EC9}"/>
    <cellStyle name="Comma 22 3 2" xfId="211" xr:uid="{92C10CEB-9118-462E-8C60-B3894B03DC83}"/>
    <cellStyle name="Comma 22 3 2 2" xfId="758" xr:uid="{2250A557-12C9-4CF2-A786-5D5C8934F9AF}"/>
    <cellStyle name="Comma 22 3 2 3" xfId="485" xr:uid="{0312BA63-F7E6-4C17-80D6-2F99CD96EC45}"/>
    <cellStyle name="Comma 22 3 3" xfId="622" xr:uid="{F6413DDF-97D4-4694-82B9-15B8745EC91E}"/>
    <cellStyle name="Comma 22 3 4" xfId="349" xr:uid="{C7EF09EF-EE9C-4CF1-B3F9-B763EBD27C38}"/>
    <cellStyle name="Comma 22 4" xfId="45" xr:uid="{02F7789F-0B7E-47EE-9CFF-0776A43C3217}"/>
    <cellStyle name="Comma 22 4 2" xfId="183" xr:uid="{F389022F-59EC-414B-B097-B83957A4DE8A}"/>
    <cellStyle name="Comma 22 4 2 2" xfId="730" xr:uid="{A025626C-9C06-48A7-BAC7-A3BFEE324409}"/>
    <cellStyle name="Comma 22 4 2 3" xfId="457" xr:uid="{71AC28D5-E168-4EA4-8417-35FDFF670DD6}"/>
    <cellStyle name="Comma 22 4 3" xfId="594" xr:uid="{19E84CA6-2FFE-4668-B35E-D79A7499406D}"/>
    <cellStyle name="Comma 22 4 4" xfId="321" xr:uid="{29C33BE5-76EF-4E8B-AAE0-66217DAF8463}"/>
    <cellStyle name="Comma 22 5" xfId="129" xr:uid="{95297B10-762C-4630-A3D7-7D2B96E28EAE}"/>
    <cellStyle name="Comma 22 5 2" xfId="267" xr:uid="{F2BEACE3-3F9C-4ECC-8210-50FCDE591F8C}"/>
    <cellStyle name="Comma 22 5 2 2" xfId="814" xr:uid="{E2BCBDBA-6ECA-4844-8474-5264A4E21383}"/>
    <cellStyle name="Comma 22 5 2 3" xfId="541" xr:uid="{9558203C-0CAC-47AB-AE7E-E237C6F782AB}"/>
    <cellStyle name="Comma 22 5 3" xfId="678" xr:uid="{E325D3DF-F5CE-40B9-AF21-1790CFCA6510}"/>
    <cellStyle name="Comma 22 5 4" xfId="405" xr:uid="{30C9497E-23ED-48F0-9C16-A483D661FB41}"/>
    <cellStyle name="Comma 22 6" xfId="157" xr:uid="{ED2D61B9-AD31-4CD5-98F9-91C3863140DF}"/>
    <cellStyle name="Comma 22 6 2" xfId="704" xr:uid="{5D5B860B-0017-4D1F-8F7B-F07566455AB9}"/>
    <cellStyle name="Comma 22 6 3" xfId="431" xr:uid="{FC6C8C54-795A-4CD5-9CB2-8B0AC7D9AC51}"/>
    <cellStyle name="Comma 22 7" xfId="568" xr:uid="{450034DB-A5F1-466D-B3A7-7D07250A3CD7}"/>
    <cellStyle name="Comma 22 8" xfId="295" xr:uid="{CBA0C978-768B-46EC-A060-A819FA57A3ED}"/>
    <cellStyle name="Comma 23" xfId="17" xr:uid="{00000000-0005-0000-0000-00000F000000}"/>
    <cellStyle name="Comma 23 2" xfId="102" xr:uid="{859FDDDC-6C43-4908-867C-80527E14E288}"/>
    <cellStyle name="Comma 23 2 2" xfId="240" xr:uid="{3E3A168E-F3D5-4AD0-9662-4C0A78BBCEA2}"/>
    <cellStyle name="Comma 23 2 2 2" xfId="787" xr:uid="{88D1BD40-318D-40BE-994E-B4B1E936FBF6}"/>
    <cellStyle name="Comma 23 2 2 3" xfId="514" xr:uid="{B51E4260-2CF1-499C-A8D0-8E96BAE3E829}"/>
    <cellStyle name="Comma 23 2 3" xfId="651" xr:uid="{4D155703-D70C-4F9B-9306-4778A5841417}"/>
    <cellStyle name="Comma 23 2 4" xfId="378" xr:uid="{0E00391B-51DB-41CF-8356-7B195D7A0582}"/>
    <cellStyle name="Comma 23 3" xfId="74" xr:uid="{2DDD131D-4724-4BA2-94DB-70D2A4238087}"/>
    <cellStyle name="Comma 23 3 2" xfId="212" xr:uid="{513D7CFB-38C5-452C-B0B1-95C2B15AC41E}"/>
    <cellStyle name="Comma 23 3 2 2" xfId="759" xr:uid="{43D09CC4-90F5-4700-BFFA-76AC21F102F6}"/>
    <cellStyle name="Comma 23 3 2 3" xfId="486" xr:uid="{67845D53-A723-4EAF-A533-217088D8BFE5}"/>
    <cellStyle name="Comma 23 3 3" xfId="623" xr:uid="{4708BB20-9BF3-4A51-B988-19ED148B17CD}"/>
    <cellStyle name="Comma 23 3 4" xfId="350" xr:uid="{0548B374-D60F-4291-84B7-6D9F18347400}"/>
    <cellStyle name="Comma 23 4" xfId="46" xr:uid="{E9712E0C-BAC4-4FAC-A5BE-397577AD529B}"/>
    <cellStyle name="Comma 23 4 2" xfId="184" xr:uid="{E0D88AE7-A459-4335-A1D2-F14C8D5328C8}"/>
    <cellStyle name="Comma 23 4 2 2" xfId="731" xr:uid="{A1D4FAD8-845D-4B43-8DFF-C84AEFBE9BF4}"/>
    <cellStyle name="Comma 23 4 2 3" xfId="458" xr:uid="{D250590F-83E1-4A8E-9305-EEB0E3764D92}"/>
    <cellStyle name="Comma 23 4 3" xfId="595" xr:uid="{0A095601-9B81-4BE6-A152-EB458E3486CE}"/>
    <cellStyle name="Comma 23 4 4" xfId="322" xr:uid="{06EB0263-C23A-4B9A-A5EC-59C0BA989334}"/>
    <cellStyle name="Comma 24" xfId="18" xr:uid="{00000000-0005-0000-0000-000010000000}"/>
    <cellStyle name="Comma 24 2" xfId="103" xr:uid="{C7D5A578-2D62-4090-B0CB-B60478BE1D18}"/>
    <cellStyle name="Comma 24 2 2" xfId="241" xr:uid="{B2BF2F81-FBFF-4343-A2EC-E55D3C89A8A0}"/>
    <cellStyle name="Comma 24 2 2 2" xfId="788" xr:uid="{1BE2AC3D-E96F-414D-9D0B-82A96B9D9413}"/>
    <cellStyle name="Comma 24 2 2 3" xfId="515" xr:uid="{CEF91CF1-C8F8-49F0-97A3-AA2A5C2876A1}"/>
    <cellStyle name="Comma 24 2 3" xfId="652" xr:uid="{92A1C1E3-2DF0-4EEA-8C08-29DBBFB08263}"/>
    <cellStyle name="Comma 24 2 4" xfId="379" xr:uid="{3C438227-E792-4397-8259-FB49F2662CFA}"/>
    <cellStyle name="Comma 24 3" xfId="75" xr:uid="{DBCD1580-D403-4309-AF80-DACE0EC0F475}"/>
    <cellStyle name="Comma 24 3 2" xfId="213" xr:uid="{E3DF43AE-8923-4575-B24F-F837F42BAC8C}"/>
    <cellStyle name="Comma 24 3 2 2" xfId="760" xr:uid="{1A1945C7-5861-4E23-BD1D-D78D3746957C}"/>
    <cellStyle name="Comma 24 3 2 3" xfId="487" xr:uid="{C763B13E-6712-4C6D-AF65-E5FF0D5F1E96}"/>
    <cellStyle name="Comma 24 3 3" xfId="624" xr:uid="{B52D673C-858D-4513-8D78-D8A32E04B79F}"/>
    <cellStyle name="Comma 24 3 4" xfId="351" xr:uid="{203DAEC3-69A9-4F44-B767-E045EE3879BE}"/>
    <cellStyle name="Comma 24 4" xfId="47" xr:uid="{0178951D-EC22-4546-8483-28961ADAF1CE}"/>
    <cellStyle name="Comma 24 4 2" xfId="185" xr:uid="{2A33DF17-3045-4923-8190-03B79B036128}"/>
    <cellStyle name="Comma 24 4 2 2" xfId="732" xr:uid="{F2171CF2-77E2-49AF-8FE0-38847AC5EADA}"/>
    <cellStyle name="Comma 24 4 2 3" xfId="459" xr:uid="{B2348626-351A-435A-90D1-AA97B9B477A2}"/>
    <cellStyle name="Comma 24 4 3" xfId="596" xr:uid="{094A5AC0-C26A-4913-A4EC-BE1EE5592E86}"/>
    <cellStyle name="Comma 24 4 4" xfId="323" xr:uid="{40A2D551-7A0C-47C7-8420-6363E298F7D4}"/>
    <cellStyle name="Comma 24 5" xfId="130" xr:uid="{7CC3C4D1-ABCE-4E9E-A90A-6EF852CA8D85}"/>
    <cellStyle name="Comma 24 5 2" xfId="268" xr:uid="{BEC9F13A-9979-4338-9F2E-F515B608ABE9}"/>
    <cellStyle name="Comma 24 5 2 2" xfId="815" xr:uid="{60E2AE14-973A-424A-9317-16DAB0114B9C}"/>
    <cellStyle name="Comma 24 5 2 3" xfId="542" xr:uid="{B1FA184F-09BE-489E-A58D-2CF6C870BE84}"/>
    <cellStyle name="Comma 24 5 3" xfId="679" xr:uid="{3F41E9F4-7CDF-47AE-80B1-90A4D0961529}"/>
    <cellStyle name="Comma 24 5 4" xfId="406" xr:uid="{B329092B-D58D-490E-8462-A1242B449B2C}"/>
    <cellStyle name="Comma 24 6" xfId="158" xr:uid="{5A367BD8-8C1E-4103-8A66-047E28F72A45}"/>
    <cellStyle name="Comma 24 6 2" xfId="705" xr:uid="{D4A9D2BB-A203-49E4-91A4-5F0803B1F5DC}"/>
    <cellStyle name="Comma 24 6 3" xfId="432" xr:uid="{DDF43C3F-9F92-42D9-ABC2-A69BBDA0BECF}"/>
    <cellStyle name="Comma 24 7" xfId="569" xr:uid="{9A8B042E-71DC-4CBA-9965-DA4A64A6E4AA}"/>
    <cellStyle name="Comma 24 8" xfId="296" xr:uid="{EF0D16AC-F14A-474A-91F0-0047FF4DA3C3}"/>
    <cellStyle name="Comma 25" xfId="19" xr:uid="{00000000-0005-0000-0000-000011000000}"/>
    <cellStyle name="Comma 25 2" xfId="104" xr:uid="{551553EA-0AAF-4573-952D-723A2DFE71A8}"/>
    <cellStyle name="Comma 25 2 2" xfId="242" xr:uid="{4AF26596-4A1B-42E4-BCB7-C0E985505D06}"/>
    <cellStyle name="Comma 25 2 2 2" xfId="789" xr:uid="{F1AFF55F-C94E-4D12-BFE5-5AF31A01F055}"/>
    <cellStyle name="Comma 25 2 2 3" xfId="516" xr:uid="{7447A4EA-18C9-4ECF-95A0-0C5C75A48CDF}"/>
    <cellStyle name="Comma 25 2 3" xfId="653" xr:uid="{687632FB-621D-4C7A-BE0A-2D280A8C0872}"/>
    <cellStyle name="Comma 25 2 4" xfId="380" xr:uid="{2CEC24EC-C9CD-463E-A632-E5DCC39C53AF}"/>
    <cellStyle name="Comma 25 3" xfId="76" xr:uid="{DDC2229A-B7BC-4E06-90F4-A53A3EBD0B9F}"/>
    <cellStyle name="Comma 25 3 2" xfId="214" xr:uid="{77223BCF-59C8-4E50-BA4F-E92739335DA5}"/>
    <cellStyle name="Comma 25 3 2 2" xfId="761" xr:uid="{667E36FD-B48B-4787-9F6C-39C71BB43DF0}"/>
    <cellStyle name="Comma 25 3 2 3" xfId="488" xr:uid="{D55D4FE9-2049-49F1-AB3F-9621C624AE3B}"/>
    <cellStyle name="Comma 25 3 3" xfId="625" xr:uid="{08C15BE1-ED2C-48B9-A97A-973D25617589}"/>
    <cellStyle name="Comma 25 3 4" xfId="352" xr:uid="{60C5407C-8B5F-4FB7-83E7-8F92A4718DC4}"/>
    <cellStyle name="Comma 25 4" xfId="48" xr:uid="{4638F141-17F7-4811-9AD7-C57B491EAD19}"/>
    <cellStyle name="Comma 25 4 2" xfId="186" xr:uid="{302787F7-5F9E-41A9-93D0-F404FE7E27A4}"/>
    <cellStyle name="Comma 25 4 2 2" xfId="733" xr:uid="{8DB2C475-C7E7-438E-B5F0-1A8E9D3AD429}"/>
    <cellStyle name="Comma 25 4 2 3" xfId="460" xr:uid="{32718B13-9CB9-450E-A836-DF9FD493FD16}"/>
    <cellStyle name="Comma 25 4 3" xfId="597" xr:uid="{1F24694E-5A11-4BD6-B61E-08C4989D53C2}"/>
    <cellStyle name="Comma 25 4 4" xfId="324" xr:uid="{746B35BB-452D-4F08-A6F6-01CF8BA38215}"/>
    <cellStyle name="Comma 25 5" xfId="131" xr:uid="{EF0959A6-4FD3-4399-94E1-72D119905579}"/>
    <cellStyle name="Comma 25 5 2" xfId="269" xr:uid="{EBEE00E5-284A-43E2-9CD9-DDEF3B6A6520}"/>
    <cellStyle name="Comma 25 5 2 2" xfId="816" xr:uid="{7B8F7E55-50C2-44C2-8E53-D8DD854D5231}"/>
    <cellStyle name="Comma 25 5 2 3" xfId="543" xr:uid="{91037B16-50EA-4289-BC44-E7A9B5B8FA05}"/>
    <cellStyle name="Comma 25 5 3" xfId="680" xr:uid="{6A131289-377A-4E9B-9300-1BAA51EF523D}"/>
    <cellStyle name="Comma 25 5 4" xfId="407" xr:uid="{23F2CCF2-D026-4BC9-92A7-5B2669FA0625}"/>
    <cellStyle name="Comma 25 6" xfId="159" xr:uid="{7CD9CB4C-CFB9-4E9E-930F-08F15F22A388}"/>
    <cellStyle name="Comma 25 6 2" xfId="706" xr:uid="{1ED6E90C-638B-4271-9123-A52E56B87E2C}"/>
    <cellStyle name="Comma 25 6 3" xfId="433" xr:uid="{BA1FB582-661C-4744-9BC0-23A09B08185C}"/>
    <cellStyle name="Comma 25 7" xfId="570" xr:uid="{BD893920-D378-400C-837C-61DE4DFD8D49}"/>
    <cellStyle name="Comma 25 8" xfId="297" xr:uid="{AD5A7940-52C8-4191-81D1-2D2F88DF2C5E}"/>
    <cellStyle name="Comma 26" xfId="20" xr:uid="{00000000-0005-0000-0000-000012000000}"/>
    <cellStyle name="Comma 26 2" xfId="105" xr:uid="{055B1262-B75E-4A62-AF01-DE6281A35BA6}"/>
    <cellStyle name="Comma 26 2 2" xfId="243" xr:uid="{3FED3D3A-3F73-41FE-BEA6-C2896C7D1E0F}"/>
    <cellStyle name="Comma 26 2 2 2" xfId="790" xr:uid="{ADAD7F28-3D23-49F5-8D5A-9126718D001A}"/>
    <cellStyle name="Comma 26 2 2 3" xfId="517" xr:uid="{A1FC8246-706C-4695-9956-A22EDB750B36}"/>
    <cellStyle name="Comma 26 2 3" xfId="654" xr:uid="{EE0B44A7-3A9C-4931-8168-85D3D197B26D}"/>
    <cellStyle name="Comma 26 2 4" xfId="381" xr:uid="{A6C82382-91E8-4DBC-BBFA-6D05CCC6379E}"/>
    <cellStyle name="Comma 26 3" xfId="77" xr:uid="{A655137D-F2C3-43AB-A1E0-3C68356CDAE3}"/>
    <cellStyle name="Comma 26 3 2" xfId="215" xr:uid="{6777E50B-5E7C-4287-9584-103D3D1E7B0A}"/>
    <cellStyle name="Comma 26 3 2 2" xfId="762" xr:uid="{A27EFEC3-1159-4651-B9C3-9C8F667712B5}"/>
    <cellStyle name="Comma 26 3 2 3" xfId="489" xr:uid="{322C60F4-9DAF-4730-9057-15784FFC0DFC}"/>
    <cellStyle name="Comma 26 3 3" xfId="626" xr:uid="{C0F1CFC7-1B3B-4FCE-B6EC-C52CD67C2DF4}"/>
    <cellStyle name="Comma 26 3 4" xfId="353" xr:uid="{8840C043-00E0-4E51-8895-2EC3CD036603}"/>
    <cellStyle name="Comma 26 4" xfId="49" xr:uid="{63AF6956-6E91-4E35-A626-CEB5AEE904D9}"/>
    <cellStyle name="Comma 26 4 2" xfId="187" xr:uid="{F3F3A06C-9A7B-41DC-A8D4-3BACA0ED0C3F}"/>
    <cellStyle name="Comma 26 4 2 2" xfId="734" xr:uid="{88FCA63D-CC54-4701-A52E-1A38AD8B4BA3}"/>
    <cellStyle name="Comma 26 4 2 3" xfId="461" xr:uid="{C10EABBB-BFA7-42D2-BFA7-CBCFFDDB2D52}"/>
    <cellStyle name="Comma 26 4 3" xfId="598" xr:uid="{565A382A-B956-4B48-9B26-9DD731687F21}"/>
    <cellStyle name="Comma 26 4 4" xfId="325" xr:uid="{523DED39-6EAD-4BFC-9FF9-74140335AA2E}"/>
    <cellStyle name="Comma 26 5" xfId="132" xr:uid="{446BE315-9066-42D2-A267-9C65F430A1E5}"/>
    <cellStyle name="Comma 26 5 2" xfId="270" xr:uid="{725B588F-6F2E-4518-ADAE-A1204B0D7681}"/>
    <cellStyle name="Comma 26 5 2 2" xfId="817" xr:uid="{D4AC1344-FAD9-4D85-BECE-68713682087F}"/>
    <cellStyle name="Comma 26 5 2 3" xfId="544" xr:uid="{B24CE4A7-FBE6-4D49-B759-A7505C4F1796}"/>
    <cellStyle name="Comma 26 5 3" xfId="681" xr:uid="{788F03C3-8E6F-4CF5-AD55-824568154720}"/>
    <cellStyle name="Comma 26 5 4" xfId="408" xr:uid="{1360E792-E410-4A80-889F-8AE5D42D9BA3}"/>
    <cellStyle name="Comma 26 6" xfId="160" xr:uid="{4281EE35-B5BE-4775-9C3B-BCB695A604F2}"/>
    <cellStyle name="Comma 26 6 2" xfId="707" xr:uid="{A8672C58-3367-4882-88CC-D8A3CB5F6C84}"/>
    <cellStyle name="Comma 26 6 3" xfId="434" xr:uid="{D81FBAB1-3E2E-48B9-B864-13FF1C564262}"/>
    <cellStyle name="Comma 26 7" xfId="571" xr:uid="{1477B5E7-D4CC-4CC9-A646-F55D816175A6}"/>
    <cellStyle name="Comma 26 8" xfId="298" xr:uid="{8D348D4C-ECCB-4AA5-8811-D624293BA740}"/>
    <cellStyle name="Comma 27" xfId="21" xr:uid="{00000000-0005-0000-0000-000013000000}"/>
    <cellStyle name="Comma 27 2" xfId="106" xr:uid="{B9A5DA36-FD78-42EE-BC87-7C20E0A81020}"/>
    <cellStyle name="Comma 27 2 2" xfId="244" xr:uid="{05649CC6-E0BF-4846-ADC7-7E42A086629E}"/>
    <cellStyle name="Comma 27 2 2 2" xfId="791" xr:uid="{3715FE23-C24E-4565-B6D6-AAACADE65C4A}"/>
    <cellStyle name="Comma 27 2 2 3" xfId="518" xr:uid="{3CF8D963-EC40-4BDE-8942-57A9A08C5713}"/>
    <cellStyle name="Comma 27 2 3" xfId="655" xr:uid="{A983181D-AE77-4C14-B5FB-903F8EA5A597}"/>
    <cellStyle name="Comma 27 2 4" xfId="382" xr:uid="{343206A0-219F-4C6B-B9BB-6B7B38BD33E6}"/>
    <cellStyle name="Comma 27 3" xfId="78" xr:uid="{9868C4A9-D631-4F8D-892F-A190D4E81313}"/>
    <cellStyle name="Comma 27 3 2" xfId="216" xr:uid="{4C96D76E-9943-42E6-9E10-341D7985186D}"/>
    <cellStyle name="Comma 27 3 2 2" xfId="763" xr:uid="{601B871C-D03F-415E-8B91-DDB3407C8218}"/>
    <cellStyle name="Comma 27 3 2 3" xfId="490" xr:uid="{91A16ED1-B39E-4ED4-9E46-DFDA4BC54E59}"/>
    <cellStyle name="Comma 27 3 3" xfId="627" xr:uid="{68A9DA64-3DCD-42FF-99C0-4CDC10A54913}"/>
    <cellStyle name="Comma 27 3 4" xfId="354" xr:uid="{D057DF29-0576-4622-ACED-1044DD817E7A}"/>
    <cellStyle name="Comma 27 4" xfId="50" xr:uid="{AF670204-104B-458F-ACD0-3FEBA12A4454}"/>
    <cellStyle name="Comma 27 4 2" xfId="188" xr:uid="{326D946D-2E15-44C2-9CAA-15285AEBD09D}"/>
    <cellStyle name="Comma 27 4 2 2" xfId="735" xr:uid="{A1381543-7B4D-4D84-AF37-47A33EED6813}"/>
    <cellStyle name="Comma 27 4 2 3" xfId="462" xr:uid="{49AB121B-860A-4184-AEDA-9EE138F5FED5}"/>
    <cellStyle name="Comma 27 4 3" xfId="599" xr:uid="{8CF6FFF6-D102-4118-B060-84C5B97717EF}"/>
    <cellStyle name="Comma 27 4 4" xfId="326" xr:uid="{66CE5185-75CD-46C9-938E-587FCB81C428}"/>
    <cellStyle name="Comma 27 5" xfId="133" xr:uid="{A59BD7EB-5F24-4317-86A5-A4B0A7692408}"/>
    <cellStyle name="Comma 27 5 2" xfId="271" xr:uid="{8C3BEA18-3FE0-498B-8DED-F779821D2677}"/>
    <cellStyle name="Comma 27 5 2 2" xfId="818" xr:uid="{E54F24E9-025B-4A2F-B16D-3D922C452E9E}"/>
    <cellStyle name="Comma 27 5 2 3" xfId="545" xr:uid="{6C310A2C-A409-4989-AFD8-9B45DD8AD77E}"/>
    <cellStyle name="Comma 27 5 3" xfId="682" xr:uid="{2BD03D7A-9695-4EE0-878B-702BDD4E3A0C}"/>
    <cellStyle name="Comma 27 5 4" xfId="409" xr:uid="{B095B549-F0A1-4B34-9CC7-61998189E936}"/>
    <cellStyle name="Comma 27 6" xfId="161" xr:uid="{4108FCCA-AF80-40D2-9FB6-D57D291016AC}"/>
    <cellStyle name="Comma 27 6 2" xfId="708" xr:uid="{E8286C7A-B4BB-4D23-B8BA-77C6E4BB1A38}"/>
    <cellStyle name="Comma 27 6 3" xfId="435" xr:uid="{1D355390-2092-4E68-800B-881C3292CECD}"/>
    <cellStyle name="Comma 27 7" xfId="572" xr:uid="{0FB3329A-151B-482A-AA9A-E7CA6B2277A6}"/>
    <cellStyle name="Comma 27 8" xfId="299" xr:uid="{F6255620-1B13-459F-A6B5-DE6D1F1E27C9}"/>
    <cellStyle name="Comma 28" xfId="28" xr:uid="{00000000-0005-0000-0000-000014000000}"/>
    <cellStyle name="Comma 28 2" xfId="113" xr:uid="{504AABB9-E896-4259-A797-3EAD0FB47476}"/>
    <cellStyle name="Comma 28 2 2" xfId="251" xr:uid="{6F6A5BEB-5A96-4791-93FF-66F6B58A7C24}"/>
    <cellStyle name="Comma 28 2 2 2" xfId="798" xr:uid="{F63C632B-FB6A-43A7-93A2-CE1020995FCD}"/>
    <cellStyle name="Comma 28 2 2 3" xfId="525" xr:uid="{122FA617-06C8-4AB9-8384-BCFE0EF70EDA}"/>
    <cellStyle name="Comma 28 2 3" xfId="662" xr:uid="{DCAE2745-4620-439D-B8C3-DF700F590BF1}"/>
    <cellStyle name="Comma 28 2 4" xfId="389" xr:uid="{941439F7-2ECF-49BC-890E-963F0377B927}"/>
    <cellStyle name="Comma 28 3" xfId="85" xr:uid="{49A8C966-8893-417B-89EF-EF47B3B2CF76}"/>
    <cellStyle name="Comma 28 3 2" xfId="223" xr:uid="{70707878-65F5-4B77-A308-B2D4FC2EC176}"/>
    <cellStyle name="Comma 28 3 2 2" xfId="770" xr:uid="{338F892E-FAA1-429B-B8AA-45319EFBC8D7}"/>
    <cellStyle name="Comma 28 3 2 3" xfId="497" xr:uid="{8092F20E-8FE8-406A-ADB5-22AE875B4A50}"/>
    <cellStyle name="Comma 28 3 3" xfId="634" xr:uid="{4EAFD6AC-954B-4A15-B143-93B909414ED1}"/>
    <cellStyle name="Comma 28 3 4" xfId="361" xr:uid="{C4AA3004-F824-4810-BB38-AAFEDC57F06C}"/>
    <cellStyle name="Comma 28 4" xfId="57" xr:uid="{4F80EFF7-3C7A-4ACE-9A63-91FC9054A7CA}"/>
    <cellStyle name="Comma 28 4 2" xfId="195" xr:uid="{AE2DD493-B3CB-44FD-B3F4-1B8B30C49B80}"/>
    <cellStyle name="Comma 28 4 2 2" xfId="742" xr:uid="{B12B8FD9-7D14-447D-9AD9-FF9165EC8D1D}"/>
    <cellStyle name="Comma 28 4 2 3" xfId="469" xr:uid="{F5999184-56A1-4BC3-9692-B9AC440D1FF9}"/>
    <cellStyle name="Comma 28 4 3" xfId="606" xr:uid="{5885A7EF-67ED-409C-AFBB-C6BD509CCC1B}"/>
    <cellStyle name="Comma 28 4 4" xfId="333" xr:uid="{279138D7-0605-437A-93DC-EAC6EC9CC347}"/>
    <cellStyle name="Comma 28 5" xfId="140" xr:uid="{299425B4-8866-4A5F-804B-FCDA7AC0F02A}"/>
    <cellStyle name="Comma 28 5 2" xfId="278" xr:uid="{DB41581B-6BFF-4C77-BFFB-8092A2380A28}"/>
    <cellStyle name="Comma 28 5 2 2" xfId="825" xr:uid="{40FCC923-8096-4019-894D-F6B04E672BFC}"/>
    <cellStyle name="Comma 28 5 2 3" xfId="552" xr:uid="{1F0C3C9F-B0AB-4D14-9E3F-A16D39D30250}"/>
    <cellStyle name="Comma 28 5 3" xfId="689" xr:uid="{4ED30FE8-46A7-4104-8D4E-3F0EDC8D8F1B}"/>
    <cellStyle name="Comma 28 5 4" xfId="416" xr:uid="{84E4123B-9CC4-47AF-846F-07DC12E667DC}"/>
    <cellStyle name="Comma 28 6" xfId="168" xr:uid="{F214AA40-CBC4-41DA-90E7-3DA4E3D1E432}"/>
    <cellStyle name="Comma 28 6 2" xfId="715" xr:uid="{343219E8-CE7E-46A8-9AD4-B208727E8983}"/>
    <cellStyle name="Comma 28 6 3" xfId="442" xr:uid="{D5449C96-49A9-4AD0-A283-D73DE22011E5}"/>
    <cellStyle name="Comma 28 7" xfId="579" xr:uid="{E708A405-0F30-4E21-9571-A41A22CE4E5A}"/>
    <cellStyle name="Comma 28 8" xfId="306" xr:uid="{B83B633B-3091-4176-ACEC-2623DE634BB0}"/>
    <cellStyle name="Comma 29" xfId="553" xr:uid="{14E586C2-CCF7-4ED6-9F7B-75A1A03B9237}"/>
    <cellStyle name="Comma 3" xfId="2" xr:uid="{00000000-0005-0000-0000-000015000000}"/>
    <cellStyle name="Comma 3 2" xfId="87" xr:uid="{4D414598-7061-42FF-A551-BFC99D67A2F9}"/>
    <cellStyle name="Comma 3 2 2" xfId="225" xr:uid="{FB6A99C2-15CA-45CC-8463-7B5591C6B976}"/>
    <cellStyle name="Comma 3 2 2 2" xfId="772" xr:uid="{27C31D74-1600-4BB7-8626-979341E00D13}"/>
    <cellStyle name="Comma 3 2 2 3" xfId="499" xr:uid="{9BF8572C-9609-476A-A7F0-9CE675FCE1E5}"/>
    <cellStyle name="Comma 3 2 3" xfId="636" xr:uid="{809EA976-A589-4A34-AD8B-2D26888E9828}"/>
    <cellStyle name="Comma 3 2 4" xfId="363" xr:uid="{B5AF6E27-01E1-4B72-A6C2-655DE63AC181}"/>
    <cellStyle name="Comma 3 3" xfId="59" xr:uid="{2BA06676-1204-47F3-B1B8-614A8E1BFCE0}"/>
    <cellStyle name="Comma 3 3 2" xfId="197" xr:uid="{95E00B7F-318E-42DA-8708-F6D1A4332C70}"/>
    <cellStyle name="Comma 3 3 2 2" xfId="744" xr:uid="{49EDD069-81D4-45C3-BB85-A1F30386E1E9}"/>
    <cellStyle name="Comma 3 3 2 3" xfId="471" xr:uid="{5CFB677E-B72A-4BE5-80D7-0E917FD7E020}"/>
    <cellStyle name="Comma 3 3 3" xfId="608" xr:uid="{FC324200-6AB9-4417-9AA2-CC25FA8D7FB7}"/>
    <cellStyle name="Comma 3 3 4" xfId="335" xr:uid="{C9B80CCF-83AB-42E2-B2E4-A81891D372B6}"/>
    <cellStyle name="Comma 3 4" xfId="31" xr:uid="{CC2C40F9-1AC9-405F-AB36-BBC682DAAEB6}"/>
    <cellStyle name="Comma 3 4 2" xfId="169" xr:uid="{41A1372B-C4CA-44BF-8C19-6FE0FA792284}"/>
    <cellStyle name="Comma 3 4 2 2" xfId="716" xr:uid="{69CE10AA-5C97-4E53-BE79-58CF7B0E7325}"/>
    <cellStyle name="Comma 3 4 2 3" xfId="443" xr:uid="{AE75D37A-FC0A-4D78-B9EF-05CC6E2D0EAD}"/>
    <cellStyle name="Comma 3 4 3" xfId="580" xr:uid="{7D9F9F39-93C4-46AF-B3B1-65E96CC2F937}"/>
    <cellStyle name="Comma 3 4 4" xfId="307" xr:uid="{A894CF22-D3E1-47EF-944C-EF723F69F833}"/>
    <cellStyle name="Comma 3 5" xfId="115" xr:uid="{512DB41E-D12A-495F-BB4D-9AA7594407DC}"/>
    <cellStyle name="Comma 3 5 2" xfId="253" xr:uid="{D50D0EC0-8EA7-439E-A7D5-9FAC690D71E1}"/>
    <cellStyle name="Comma 3 5 2 2" xfId="800" xr:uid="{EED2E9CA-071F-4D05-A8EB-27E07734003D}"/>
    <cellStyle name="Comma 3 5 2 3" xfId="527" xr:uid="{6B9E35FC-59FD-4B2A-96C3-74DB4BF90525}"/>
    <cellStyle name="Comma 3 5 3" xfId="664" xr:uid="{008FF9DD-D90C-400B-8253-E9C2A8D1F639}"/>
    <cellStyle name="Comma 3 5 4" xfId="391" xr:uid="{681B266D-F5FB-4289-A0E4-8EA15CB9654F}"/>
    <cellStyle name="Comma 3 6" xfId="143" xr:uid="{8CF3A1A8-1759-4AB5-944D-518E3285D533}"/>
    <cellStyle name="Comma 3 6 2" xfId="690" xr:uid="{6776DDC2-D0E1-43D7-9F45-918231FF0822}"/>
    <cellStyle name="Comma 3 6 3" xfId="417" xr:uid="{806A258F-741E-41FA-96FD-B516F9E3468B}"/>
    <cellStyle name="Comma 3 7" xfId="554" xr:uid="{1632DDD5-7F6E-4AA5-9CBF-FE855FE0F832}"/>
    <cellStyle name="Comma 3 8" xfId="281" xr:uid="{D56C0C73-A78B-4013-915E-4D9A5BE74359}"/>
    <cellStyle name="Comma 4" xfId="22" xr:uid="{00000000-0005-0000-0000-000016000000}"/>
    <cellStyle name="Comma 4 2" xfId="107" xr:uid="{7CEF6CD8-16B8-47B3-BDF4-180F652450B2}"/>
    <cellStyle name="Comma 4 2 2" xfId="245" xr:uid="{7B95B527-C3CA-42B8-A597-6136F2969C57}"/>
    <cellStyle name="Comma 4 2 2 2" xfId="792" xr:uid="{0DC38981-EC61-42E2-A4E4-F1E169AB9EF2}"/>
    <cellStyle name="Comma 4 2 2 3" xfId="519" xr:uid="{4F7CE285-9C1B-4267-A34F-17709306B4EB}"/>
    <cellStyle name="Comma 4 2 3" xfId="656" xr:uid="{F3179E4F-37C9-45BD-8B28-1FB5F806EC4D}"/>
    <cellStyle name="Comma 4 2 4" xfId="383" xr:uid="{18B60892-FAC7-44D2-8C19-F1992B19A690}"/>
    <cellStyle name="Comma 4 3" xfId="79" xr:uid="{20AE130B-270F-4233-A99F-D1165290BFF8}"/>
    <cellStyle name="Comma 4 3 2" xfId="217" xr:uid="{D5B36D05-3B6C-4A0A-875B-74C5B63CA478}"/>
    <cellStyle name="Comma 4 3 2 2" xfId="764" xr:uid="{2D1175B7-8159-48D4-9E72-0CF49BFC3148}"/>
    <cellStyle name="Comma 4 3 2 3" xfId="491" xr:uid="{4B4A91E2-52CD-4361-9D0C-2BBE69FBC41A}"/>
    <cellStyle name="Comma 4 3 3" xfId="628" xr:uid="{23170FFC-D6A7-4DAC-B69C-D3BD13F86A12}"/>
    <cellStyle name="Comma 4 3 4" xfId="355" xr:uid="{08B68DCC-7359-49AD-9A29-54826A6E221A}"/>
    <cellStyle name="Comma 4 4" xfId="51" xr:uid="{5BB2CABF-43E4-41C5-A605-C45A976E89AE}"/>
    <cellStyle name="Comma 4 4 2" xfId="189" xr:uid="{079A51F6-7348-426F-AEE0-9C811E19EE45}"/>
    <cellStyle name="Comma 4 4 2 2" xfId="736" xr:uid="{E0AA8D57-1BE4-4161-BD1C-1774C12B6C28}"/>
    <cellStyle name="Comma 4 4 2 3" xfId="463" xr:uid="{19957F0E-7FA3-4E89-8AF9-300548F37D23}"/>
    <cellStyle name="Comma 4 4 3" xfId="600" xr:uid="{73FA9212-D288-4108-99F9-88E87513D021}"/>
    <cellStyle name="Comma 4 4 4" xfId="327" xr:uid="{BE8C6215-09BC-42F1-BAE6-52DFD1D907B5}"/>
    <cellStyle name="Comma 4 5" xfId="134" xr:uid="{DB3A0236-82CE-4679-89AD-6D1094899759}"/>
    <cellStyle name="Comma 4 5 2" xfId="272" xr:uid="{64C6FAE4-43A1-49F1-8D1C-A69E9072830C}"/>
    <cellStyle name="Comma 4 5 2 2" xfId="819" xr:uid="{8B9E96B4-277A-4263-9589-03F40A0B3211}"/>
    <cellStyle name="Comma 4 5 2 3" xfId="546" xr:uid="{BD4BDB14-F57A-4F54-A90D-66C31F77F881}"/>
    <cellStyle name="Comma 4 5 3" xfId="683" xr:uid="{AD43D4CC-488A-42A5-BD50-242B8CCB1096}"/>
    <cellStyle name="Comma 4 5 4" xfId="410" xr:uid="{D4968A8B-FFC7-4F35-9036-CBF81E5203B2}"/>
    <cellStyle name="Comma 4 6" xfId="162" xr:uid="{2106C1EE-325D-4A87-83B2-1B1F8AD27499}"/>
    <cellStyle name="Comma 4 6 2" xfId="709" xr:uid="{835A88E0-3744-48B2-A619-7FAB3BF2073A}"/>
    <cellStyle name="Comma 4 6 3" xfId="436" xr:uid="{FB8AB4F7-D80D-4E84-AB48-EE0B7654C55F}"/>
    <cellStyle name="Comma 4 7" xfId="573" xr:uid="{6F2BB872-AC1C-41FD-99EA-AB2322E94AD6}"/>
    <cellStyle name="Comma 4 8" xfId="300" xr:uid="{58690E3F-B9DE-41DC-80D8-9D156340BB7C}"/>
    <cellStyle name="Comma 5" xfId="23" xr:uid="{00000000-0005-0000-0000-000017000000}"/>
    <cellStyle name="Comma 5 2" xfId="108" xr:uid="{44337FAB-DB6B-4747-9EE9-E70A60E72F2E}"/>
    <cellStyle name="Comma 5 2 2" xfId="246" xr:uid="{0C1D4E30-DC2E-4ABD-8143-451E22F9F059}"/>
    <cellStyle name="Comma 5 2 2 2" xfId="793" xr:uid="{81972294-E99A-453D-8030-4361BE9E0E29}"/>
    <cellStyle name="Comma 5 2 2 3" xfId="520" xr:uid="{180F98F1-AA88-46B3-90D1-AB81A23756DB}"/>
    <cellStyle name="Comma 5 2 3" xfId="657" xr:uid="{785529E5-4963-4DEE-81CE-9FF40FF320E3}"/>
    <cellStyle name="Comma 5 2 4" xfId="384" xr:uid="{C4BBA23C-DAA6-4669-84D9-51EFC418355A}"/>
    <cellStyle name="Comma 5 3" xfId="80" xr:uid="{56ADAD93-5B22-4D68-ACDE-42F2BB25A269}"/>
    <cellStyle name="Comma 5 3 2" xfId="218" xr:uid="{848DD61D-9ABA-4169-A061-488A6A983D5A}"/>
    <cellStyle name="Comma 5 3 2 2" xfId="765" xr:uid="{8E675694-F539-4F6C-8629-5B45C938B4A5}"/>
    <cellStyle name="Comma 5 3 2 3" xfId="492" xr:uid="{6105DD89-6D48-45E6-8AC3-851936643B15}"/>
    <cellStyle name="Comma 5 3 3" xfId="629" xr:uid="{B91D48D2-4EE6-4FFD-8A53-89DA9F2F0FF7}"/>
    <cellStyle name="Comma 5 3 4" xfId="356" xr:uid="{25D3ABF0-AA08-410E-A8D3-CAA61113CF89}"/>
    <cellStyle name="Comma 5 4" xfId="52" xr:uid="{88456F30-47A8-42F8-9C32-EF3BD0200A2F}"/>
    <cellStyle name="Comma 5 4 2" xfId="190" xr:uid="{5F1BC5F8-E26A-4DF1-A7F5-E70887459301}"/>
    <cellStyle name="Comma 5 4 2 2" xfId="737" xr:uid="{715BA0ED-8F44-4186-8027-4F348A3B5526}"/>
    <cellStyle name="Comma 5 4 2 3" xfId="464" xr:uid="{1F0E11DB-496F-43C2-9E6E-0DA19AA9F35A}"/>
    <cellStyle name="Comma 5 4 3" xfId="601" xr:uid="{24093972-861B-4C36-B1A1-D46A400F8639}"/>
    <cellStyle name="Comma 5 4 4" xfId="328" xr:uid="{78ADB7AB-2402-4804-B1D9-0E5D12FE75FA}"/>
    <cellStyle name="Comma 5 5" xfId="135" xr:uid="{2237F557-4905-46C5-8305-E39106464FA7}"/>
    <cellStyle name="Comma 5 5 2" xfId="273" xr:uid="{2A466278-0C4B-4788-87A5-B0E882CA2937}"/>
    <cellStyle name="Comma 5 5 2 2" xfId="820" xr:uid="{4F7F975F-7ECD-4821-AED3-069C897A21C2}"/>
    <cellStyle name="Comma 5 5 2 3" xfId="547" xr:uid="{8770CAEB-506A-4058-B4FE-60A0E56F070B}"/>
    <cellStyle name="Comma 5 5 3" xfId="684" xr:uid="{34154D4C-A16C-4A51-A967-B3DFD5345C5B}"/>
    <cellStyle name="Comma 5 5 4" xfId="411" xr:uid="{34138609-0C86-418E-9696-E8ECEB8CE48F}"/>
    <cellStyle name="Comma 5 6" xfId="163" xr:uid="{6B515511-F8D5-455D-BC35-B112E08C7146}"/>
    <cellStyle name="Comma 5 6 2" xfId="710" xr:uid="{B3EF5035-9E5C-4591-AF56-C79F08AB90DA}"/>
    <cellStyle name="Comma 5 6 3" xfId="437" xr:uid="{10FD1B12-7E55-41D3-9C3A-EA357EFE7CB5}"/>
    <cellStyle name="Comma 5 7" xfId="574" xr:uid="{8F6A146A-D656-434A-AFA1-636629690CCD}"/>
    <cellStyle name="Comma 5 8" xfId="301" xr:uid="{F33C30B6-39FF-42BF-8B0D-53853393B54E}"/>
    <cellStyle name="Comma 6" xfId="24" xr:uid="{00000000-0005-0000-0000-000018000000}"/>
    <cellStyle name="Comma 6 2" xfId="109" xr:uid="{A6A424CF-AD2A-4335-8FFF-AAEB7D02BA8F}"/>
    <cellStyle name="Comma 6 2 2" xfId="247" xr:uid="{A864C86A-CFFC-4B2B-B49D-3164BB14D7B9}"/>
    <cellStyle name="Comma 6 2 2 2" xfId="794" xr:uid="{3B12192A-FB68-42CF-B10C-7DC7384A8361}"/>
    <cellStyle name="Comma 6 2 2 3" xfId="521" xr:uid="{268F6267-B684-4728-AA63-3BA8304D596B}"/>
    <cellStyle name="Comma 6 2 3" xfId="658" xr:uid="{59530053-A43F-4777-A5CD-B0F4F09716B5}"/>
    <cellStyle name="Comma 6 2 4" xfId="385" xr:uid="{01542977-CC29-4ADE-B1B3-503E0549525A}"/>
    <cellStyle name="Comma 6 3" xfId="81" xr:uid="{5D68694E-3281-4F50-A078-027462E308F3}"/>
    <cellStyle name="Comma 6 3 2" xfId="219" xr:uid="{56149D77-45B2-4B09-B665-1DE68E22CF78}"/>
    <cellStyle name="Comma 6 3 2 2" xfId="766" xr:uid="{6045647D-9E50-40BE-84DA-C8FE9889EC19}"/>
    <cellStyle name="Comma 6 3 2 3" xfId="493" xr:uid="{409BAB7E-2A87-4324-8D8E-CC1BA7ECB56B}"/>
    <cellStyle name="Comma 6 3 3" xfId="630" xr:uid="{D28B3784-BAFA-43B5-8F4D-829EA321A265}"/>
    <cellStyle name="Comma 6 3 4" xfId="357" xr:uid="{CBD0511C-6C75-4A86-85F8-6170BEFBDCF6}"/>
    <cellStyle name="Comma 6 4" xfId="53" xr:uid="{E9EC2D47-C035-468F-8562-F1DE4D6B08E9}"/>
    <cellStyle name="Comma 6 4 2" xfId="191" xr:uid="{18A80AB1-954D-45F8-962B-51B96241680D}"/>
    <cellStyle name="Comma 6 4 2 2" xfId="738" xr:uid="{8D257E49-BE46-4846-912F-FAB9E071DD22}"/>
    <cellStyle name="Comma 6 4 2 3" xfId="465" xr:uid="{8398ACB6-57AE-42A1-8E2B-E91A3DBFEF67}"/>
    <cellStyle name="Comma 6 4 3" xfId="602" xr:uid="{445689DB-3E06-448D-9A64-0EDD91212A70}"/>
    <cellStyle name="Comma 6 4 4" xfId="329" xr:uid="{7749F7D1-FAA9-455D-B95C-3B076079CBCE}"/>
    <cellStyle name="Comma 6 5" xfId="136" xr:uid="{D6BE6D0B-95A4-41E0-B77B-A4497EDE193F}"/>
    <cellStyle name="Comma 6 5 2" xfId="274" xr:uid="{4C245992-0A05-4A31-B149-B019AB9E9643}"/>
    <cellStyle name="Comma 6 5 2 2" xfId="821" xr:uid="{23B55B6F-8816-4D80-9AD1-CA2A500FAD1D}"/>
    <cellStyle name="Comma 6 5 2 3" xfId="548" xr:uid="{0246BA16-8BCA-43B9-BDC4-C0A44885B026}"/>
    <cellStyle name="Comma 6 5 3" xfId="685" xr:uid="{B191AB31-4BAD-4CF3-B22D-017F831C1A15}"/>
    <cellStyle name="Comma 6 5 4" xfId="412" xr:uid="{173B6B12-CF25-4C1C-822A-71F0A5004BDE}"/>
    <cellStyle name="Comma 6 6" xfId="164" xr:uid="{3C0863F3-E5D4-4360-A63D-1701707CE99F}"/>
    <cellStyle name="Comma 6 6 2" xfId="711" xr:uid="{719FA2F1-3166-4FE4-828C-119C494C175F}"/>
    <cellStyle name="Comma 6 6 3" xfId="438" xr:uid="{F24AAE36-489E-4189-A79A-4B6328C84EF7}"/>
    <cellStyle name="Comma 6 7" xfId="575" xr:uid="{85B38DC2-A5D9-4F6A-901F-84895EE328BA}"/>
    <cellStyle name="Comma 6 8" xfId="302" xr:uid="{E9DB54EE-C098-49D2-A0A7-7CF1CA410D75}"/>
    <cellStyle name="Comma 7" xfId="25" xr:uid="{00000000-0005-0000-0000-000019000000}"/>
    <cellStyle name="Comma 7 2" xfId="110" xr:uid="{AAF3D726-95E7-42D9-BF4C-8B7DAC100E29}"/>
    <cellStyle name="Comma 7 2 2" xfId="248" xr:uid="{7E672C5F-3F3F-4215-B48F-5134C91A5F40}"/>
    <cellStyle name="Comma 7 2 2 2" xfId="795" xr:uid="{FE075A65-2A78-4592-AC98-9FC4AD3F27EC}"/>
    <cellStyle name="Comma 7 2 2 3" xfId="522" xr:uid="{520388EB-2832-47C2-B06D-5A8BED862E2F}"/>
    <cellStyle name="Comma 7 2 3" xfId="659" xr:uid="{A4AC02E7-1407-493F-A3BA-CE1D94A511A9}"/>
    <cellStyle name="Comma 7 2 4" xfId="386" xr:uid="{2C8ACCF8-4037-4031-979A-A8C8BCD17C90}"/>
    <cellStyle name="Comma 7 3" xfId="82" xr:uid="{D9C686D2-0CCA-4657-8B18-DBDA3045CBA2}"/>
    <cellStyle name="Comma 7 3 2" xfId="220" xr:uid="{A81F45CC-9903-44BA-8796-1DC98CC64115}"/>
    <cellStyle name="Comma 7 3 2 2" xfId="767" xr:uid="{F63AE82B-B648-4CB3-A8B9-471FB00D2942}"/>
    <cellStyle name="Comma 7 3 2 3" xfId="494" xr:uid="{F49722C5-AA28-4B0B-9BDB-75E8BE599DD2}"/>
    <cellStyle name="Comma 7 3 3" xfId="631" xr:uid="{12908CAE-FD11-4327-A0E1-2783B85F1DDA}"/>
    <cellStyle name="Comma 7 3 4" xfId="358" xr:uid="{91476432-F746-4FAE-9C58-BF278227757D}"/>
    <cellStyle name="Comma 7 4" xfId="54" xr:uid="{778A80BB-69F8-4B8E-90BD-93442125BB08}"/>
    <cellStyle name="Comma 7 4 2" xfId="192" xr:uid="{0F30A740-AED0-4626-87D2-2E26C291B5E7}"/>
    <cellStyle name="Comma 7 4 2 2" xfId="739" xr:uid="{D14AED26-080E-4B28-94EB-0DF195B9072A}"/>
    <cellStyle name="Comma 7 4 2 3" xfId="466" xr:uid="{644DDD67-2130-4A90-A385-B16290467434}"/>
    <cellStyle name="Comma 7 4 3" xfId="603" xr:uid="{F6E8E742-20E7-4318-A385-C74D6F7019BA}"/>
    <cellStyle name="Comma 7 4 4" xfId="330" xr:uid="{ED5114FF-C4D3-4FAC-A4FD-E5D5A79227E8}"/>
    <cellStyle name="Comma 7 5" xfId="137" xr:uid="{AEA14822-076F-4A9F-9748-CC067E3221B2}"/>
    <cellStyle name="Comma 7 5 2" xfId="275" xr:uid="{9B1E8BFB-6419-4791-A080-2D9860420551}"/>
    <cellStyle name="Comma 7 5 2 2" xfId="822" xr:uid="{17127ECC-0412-4463-83CA-8D61CB8482C3}"/>
    <cellStyle name="Comma 7 5 2 3" xfId="549" xr:uid="{716E1384-8E17-4D26-B1D5-D3B16A023AF9}"/>
    <cellStyle name="Comma 7 5 3" xfId="686" xr:uid="{38D5405A-D724-49C5-9C0F-180A08BBE0F9}"/>
    <cellStyle name="Comma 7 5 4" xfId="413" xr:uid="{AC1F1C01-9CED-45C0-8704-C70D35A181B3}"/>
    <cellStyle name="Comma 7 6" xfId="165" xr:uid="{C3F23B30-7EE6-4867-A2BC-857782B1FEAB}"/>
    <cellStyle name="Comma 7 6 2" xfId="712" xr:uid="{0D54A1AE-5028-4CFD-A9F0-628A6B49143C}"/>
    <cellStyle name="Comma 7 6 3" xfId="439" xr:uid="{F41F4146-62A1-4973-8653-69B9E21E9660}"/>
    <cellStyle name="Comma 7 7" xfId="576" xr:uid="{CE933476-FB17-4218-8142-DCEA5DF63CD7}"/>
    <cellStyle name="Comma 7 8" xfId="303" xr:uid="{F00E6A45-9520-42E8-9611-612EB88FF6F9}"/>
    <cellStyle name="Comma 8" xfId="26" xr:uid="{00000000-0005-0000-0000-00001A000000}"/>
    <cellStyle name="Comma 8 2" xfId="111" xr:uid="{62BBE5C7-BB33-4DC0-99BC-C806ADAA59B9}"/>
    <cellStyle name="Comma 8 2 2" xfId="249" xr:uid="{5E851A0B-E27A-42C6-8BB6-B52541ED0241}"/>
    <cellStyle name="Comma 8 2 2 2" xfId="796" xr:uid="{A8FB16FC-A631-4FE5-8E7C-24B4B1E0CA88}"/>
    <cellStyle name="Comma 8 2 2 3" xfId="523" xr:uid="{E32FF5F0-98F4-4399-A6E3-51CEBE25AD8D}"/>
    <cellStyle name="Comma 8 2 3" xfId="660" xr:uid="{2652463A-BAD6-479D-9EED-513929A66CC4}"/>
    <cellStyle name="Comma 8 2 4" xfId="387" xr:uid="{1E68FA1F-52A3-4E23-BECF-EF2BCE793FFD}"/>
    <cellStyle name="Comma 8 3" xfId="83" xr:uid="{8C228366-59A3-4072-B18E-DF8FAF60504D}"/>
    <cellStyle name="Comma 8 3 2" xfId="221" xr:uid="{CAD37F46-039B-4834-A275-12C43D92FD13}"/>
    <cellStyle name="Comma 8 3 2 2" xfId="768" xr:uid="{7A25875D-F09B-4B0E-B582-B673C319392B}"/>
    <cellStyle name="Comma 8 3 2 3" xfId="495" xr:uid="{8366CF59-A8C6-4C40-AD37-04D7C7B3E1DB}"/>
    <cellStyle name="Comma 8 3 3" xfId="632" xr:uid="{7AB15DD6-E189-433D-B441-FACE2C93B65A}"/>
    <cellStyle name="Comma 8 3 4" xfId="359" xr:uid="{8C329B13-69BC-441B-9707-9EF4F664D488}"/>
    <cellStyle name="Comma 8 4" xfId="55" xr:uid="{FEE7EF4D-9DDC-4C56-A955-0A5781196360}"/>
    <cellStyle name="Comma 8 4 2" xfId="193" xr:uid="{8EFCA77F-4BC9-4082-8AEA-8EAC42A0C1D5}"/>
    <cellStyle name="Comma 8 4 2 2" xfId="740" xr:uid="{954C8FAA-9B00-4302-9B3A-171EE0F3B2A1}"/>
    <cellStyle name="Comma 8 4 2 3" xfId="467" xr:uid="{46DE6FB5-B9DD-4C69-A260-5C171BD2D43F}"/>
    <cellStyle name="Comma 8 4 3" xfId="604" xr:uid="{40C26F3F-788E-4AC5-9707-BD5E38261D04}"/>
    <cellStyle name="Comma 8 4 4" xfId="331" xr:uid="{CA7DEEA6-BDB2-4D8C-9AD3-1E3E20DB8084}"/>
    <cellStyle name="Comma 8 5" xfId="138" xr:uid="{08A915E1-9340-4159-A4B0-173F2A0ABD16}"/>
    <cellStyle name="Comma 8 5 2" xfId="276" xr:uid="{97A3991B-623B-464C-8B3D-33681B0D5777}"/>
    <cellStyle name="Comma 8 5 2 2" xfId="823" xr:uid="{BD3C7B48-AB13-40CE-999C-079EA0873427}"/>
    <cellStyle name="Comma 8 5 2 3" xfId="550" xr:uid="{9749D7CF-0789-4BF7-9344-E1D043065D87}"/>
    <cellStyle name="Comma 8 5 3" xfId="687" xr:uid="{FE7D59D8-A1DE-4133-908A-22F3D2208675}"/>
    <cellStyle name="Comma 8 5 4" xfId="414" xr:uid="{D8173DDE-9FD8-428A-AA82-BFB119AD1F67}"/>
    <cellStyle name="Comma 8 6" xfId="166" xr:uid="{C1044D85-8579-4A6B-A623-F7B7DDF32C75}"/>
    <cellStyle name="Comma 8 6 2" xfId="713" xr:uid="{72FBA670-ABEE-478B-8FC4-446610BE47F2}"/>
    <cellStyle name="Comma 8 6 3" xfId="440" xr:uid="{09CB6FCF-74EE-45B5-842A-70D4B04B23C7}"/>
    <cellStyle name="Comma 8 7" xfId="577" xr:uid="{BF422849-8C6A-4D1E-AFDA-5B8A1AC79A53}"/>
    <cellStyle name="Comma 8 8" xfId="304" xr:uid="{C073F9C7-08B8-4837-8DFC-720FED163C56}"/>
    <cellStyle name="Comma 9" xfId="27" xr:uid="{00000000-0005-0000-0000-00001B000000}"/>
    <cellStyle name="Comma 9 2" xfId="112" xr:uid="{9B2D59B9-D453-4C83-A135-845B44881302}"/>
    <cellStyle name="Comma 9 2 2" xfId="250" xr:uid="{89D418B0-8876-46D0-A062-96426A0B82CE}"/>
    <cellStyle name="Comma 9 2 2 2" xfId="797" xr:uid="{A771BD8C-1106-480A-8B25-E797D6BD2ECB}"/>
    <cellStyle name="Comma 9 2 2 3" xfId="524" xr:uid="{3D895BF8-2740-498C-A5DE-9928580179F9}"/>
    <cellStyle name="Comma 9 2 3" xfId="661" xr:uid="{76F7C4A3-8D1F-4FA1-8AA7-BD4EC7DA73DF}"/>
    <cellStyle name="Comma 9 2 4" xfId="388" xr:uid="{DB7EF0EC-6FB2-4B33-9A91-0505CE117AE2}"/>
    <cellStyle name="Comma 9 3" xfId="84" xr:uid="{95CD65F0-2349-446C-A48F-084F72BFE9CE}"/>
    <cellStyle name="Comma 9 3 2" xfId="222" xr:uid="{39FD96D8-CBFF-43A3-8E21-E8284589EC8D}"/>
    <cellStyle name="Comma 9 3 2 2" xfId="769" xr:uid="{27218355-0FCC-4424-B56E-22EBF7D2C074}"/>
    <cellStyle name="Comma 9 3 2 3" xfId="496" xr:uid="{087678FD-F3DB-412C-A4CC-DE0FC44C64E0}"/>
    <cellStyle name="Comma 9 3 3" xfId="633" xr:uid="{68C315A5-3040-4ECA-9DE5-F31159726279}"/>
    <cellStyle name="Comma 9 3 4" xfId="360" xr:uid="{E96311FE-057F-48CD-97F5-567E76631E7F}"/>
    <cellStyle name="Comma 9 4" xfId="56" xr:uid="{49CC4217-53E6-4BBC-905D-51C7F63A9962}"/>
    <cellStyle name="Comma 9 4 2" xfId="194" xr:uid="{4F15357B-D0CF-40ED-BD89-BAB0232E2BCF}"/>
    <cellStyle name="Comma 9 4 2 2" xfId="741" xr:uid="{4E054307-976C-4F70-B28F-425989E10B1A}"/>
    <cellStyle name="Comma 9 4 2 3" xfId="468" xr:uid="{C43B65C5-F749-4618-86CD-72CFB093E142}"/>
    <cellStyle name="Comma 9 4 3" xfId="605" xr:uid="{90607CF2-54EA-4396-8A6F-6ABF6CB781F9}"/>
    <cellStyle name="Comma 9 4 4" xfId="332" xr:uid="{8DF92645-D09E-452D-A636-AC4666347BE9}"/>
    <cellStyle name="Comma 9 5" xfId="139" xr:uid="{A501F1D6-E7A1-4A50-90CF-1C4E24320154}"/>
    <cellStyle name="Comma 9 5 2" xfId="277" xr:uid="{33361991-770B-4BA3-8A8D-F288740B2E25}"/>
    <cellStyle name="Comma 9 5 2 2" xfId="824" xr:uid="{765E87CF-CC06-4032-9297-98D9A2B4A7B1}"/>
    <cellStyle name="Comma 9 5 2 3" xfId="551" xr:uid="{4C1D82A7-53C9-4F58-ADB5-C31F114D56C8}"/>
    <cellStyle name="Comma 9 5 3" xfId="688" xr:uid="{6AEC0688-590E-49C4-9235-3F0B011569F3}"/>
    <cellStyle name="Comma 9 5 4" xfId="415" xr:uid="{81BB5170-3203-403C-8189-68A71DB888A5}"/>
    <cellStyle name="Comma 9 6" xfId="167" xr:uid="{336060C5-400C-48F4-9E4E-1DC68A426EA5}"/>
    <cellStyle name="Comma 9 6 2" xfId="714" xr:uid="{1F9D7DC1-1553-420C-A605-F091EF1FEE7C}"/>
    <cellStyle name="Comma 9 6 3" xfId="441" xr:uid="{81936CC8-6BFD-49CC-A94A-B64285B7E673}"/>
    <cellStyle name="Comma 9 7" xfId="578" xr:uid="{C0F8AF51-087E-44AB-9CD1-0C464F033158}"/>
    <cellStyle name="Comma 9 8" xfId="305" xr:uid="{F117FAB6-3063-4AA3-BF35-B1C03525C3B0}"/>
    <cellStyle name="Hyperlink" xfId="1" builtinId="8"/>
    <cellStyle name="Normal" xfId="0" builtinId="0"/>
    <cellStyle name="Normal 2" xfId="29" xr:uid="{00000000-0005-0000-0000-00001E000000}"/>
    <cellStyle name="Normal 2 2" xfId="141" xr:uid="{C778E8BC-2E97-4E61-8FB6-8D3D2255578C}"/>
    <cellStyle name="Normal 4" xfId="142" xr:uid="{01B8C518-8EF6-4420-B080-EC6E08284B6C}"/>
    <cellStyle name="Percent" xfId="28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CD93-8DFA-441F-A763-783A08145EE2}">
  <dimension ref="A1:T827"/>
  <sheetViews>
    <sheetView tabSelected="1" view="pageBreakPreview" topLeftCell="A9" zoomScale="85" zoomScaleNormal="100" zoomScaleSheetLayoutView="85" workbookViewId="0">
      <selection activeCell="F12" sqref="F12"/>
    </sheetView>
  </sheetViews>
  <sheetFormatPr defaultColWidth="9.1328125" defaultRowHeight="17.25" x14ac:dyDescent="0.45"/>
  <cols>
    <col min="1" max="1" width="11.265625" style="2" customWidth="1"/>
    <col min="2" max="2" width="50.73046875" style="1" customWidth="1"/>
    <col min="3" max="3" width="21.265625" style="1" customWidth="1"/>
    <col min="4" max="4" width="24.59765625" style="1" customWidth="1"/>
    <col min="5" max="5" width="20.73046875" style="1" customWidth="1"/>
    <col min="6" max="6" width="10" style="31" customWidth="1"/>
    <col min="7" max="7" width="10.59765625" style="31" customWidth="1"/>
    <col min="8" max="9" width="13.1328125" style="1" customWidth="1"/>
    <col min="10" max="10" width="9.1328125" style="43"/>
    <col min="11" max="11" width="10.3984375" style="16" bestFit="1" customWidth="1"/>
    <col min="12" max="12" width="9.1328125" style="24"/>
    <col min="13" max="13" width="9.59765625" style="11" customWidth="1"/>
    <col min="14" max="14" width="11.59765625" style="20" bestFit="1" customWidth="1"/>
    <col min="15" max="15" width="9.1328125" style="1"/>
    <col min="16" max="16" width="9.1328125" style="27"/>
    <col min="17" max="16384" width="9.1328125" style="1"/>
  </cols>
  <sheetData>
    <row r="1" spans="1:16" ht="21" x14ac:dyDescent="0.45">
      <c r="A1" s="84" t="s">
        <v>11</v>
      </c>
      <c r="B1" s="85"/>
      <c r="C1" s="85"/>
      <c r="D1" s="85"/>
      <c r="E1" s="85"/>
      <c r="F1" s="85"/>
      <c r="G1" s="85"/>
      <c r="H1" s="85"/>
      <c r="I1" s="86"/>
      <c r="J1" s="42"/>
      <c r="K1" s="15"/>
      <c r="L1" s="23"/>
      <c r="M1" s="10"/>
      <c r="N1" s="19"/>
    </row>
    <row r="2" spans="1:16" ht="20.100000000000001" customHeight="1" x14ac:dyDescent="0.45">
      <c r="A2" s="3" t="s">
        <v>17</v>
      </c>
      <c r="B2" s="82"/>
      <c r="C2" s="83"/>
      <c r="D2" s="3" t="s">
        <v>34</v>
      </c>
      <c r="E2" s="82" t="s">
        <v>40</v>
      </c>
      <c r="F2" s="87"/>
      <c r="G2" s="87"/>
      <c r="H2" s="87"/>
      <c r="I2" s="83"/>
    </row>
    <row r="3" spans="1:16" ht="24" customHeight="1" x14ac:dyDescent="0.45">
      <c r="A3" s="3" t="s">
        <v>18</v>
      </c>
      <c r="B3" s="82"/>
      <c r="C3" s="83"/>
      <c r="D3" s="3" t="s">
        <v>33</v>
      </c>
      <c r="E3" s="88"/>
      <c r="F3" s="87"/>
      <c r="G3" s="87"/>
      <c r="H3" s="87"/>
      <c r="I3" s="83"/>
    </row>
    <row r="4" spans="1:16" ht="19.5" customHeight="1" x14ac:dyDescent="0.45">
      <c r="A4" s="4" t="s">
        <v>6</v>
      </c>
      <c r="B4" s="82"/>
      <c r="C4" s="83"/>
      <c r="D4" s="4" t="s">
        <v>5</v>
      </c>
      <c r="E4" s="89" t="s">
        <v>43</v>
      </c>
      <c r="F4" s="90"/>
      <c r="G4" s="90"/>
      <c r="H4" s="90"/>
      <c r="I4" s="91"/>
    </row>
    <row r="5" spans="1:16" ht="20.100000000000001" customHeight="1" x14ac:dyDescent="0.45">
      <c r="A5" s="3" t="s">
        <v>15</v>
      </c>
      <c r="B5" s="92"/>
      <c r="C5" s="83"/>
      <c r="D5" s="3" t="s">
        <v>12</v>
      </c>
      <c r="E5" s="82"/>
      <c r="F5" s="87"/>
      <c r="G5" s="87"/>
      <c r="H5" s="87"/>
      <c r="I5" s="83"/>
    </row>
    <row r="6" spans="1:16" ht="20.100000000000001" customHeight="1" x14ac:dyDescent="0.45">
      <c r="A6" s="3" t="s">
        <v>16</v>
      </c>
      <c r="B6" s="82" t="s">
        <v>144</v>
      </c>
      <c r="C6" s="83"/>
      <c r="D6" s="3" t="s">
        <v>19</v>
      </c>
      <c r="E6" s="88"/>
      <c r="F6" s="87"/>
      <c r="G6" s="87"/>
      <c r="H6" s="87"/>
      <c r="I6" s="83"/>
    </row>
    <row r="7" spans="1:16" ht="8.25" customHeight="1" x14ac:dyDescent="0.45">
      <c r="A7" s="34"/>
      <c r="I7" s="35"/>
    </row>
    <row r="8" spans="1:16" x14ac:dyDescent="0.45">
      <c r="A8" s="36" t="s">
        <v>23</v>
      </c>
      <c r="B8"/>
      <c r="C8"/>
      <c r="D8"/>
      <c r="E8"/>
      <c r="F8" s="37"/>
      <c r="G8" s="37"/>
      <c r="H8"/>
      <c r="I8" s="38"/>
    </row>
    <row r="9" spans="1:16" x14ac:dyDescent="0.45">
      <c r="A9" s="79" t="s">
        <v>20</v>
      </c>
      <c r="B9" s="80"/>
      <c r="C9" s="80"/>
      <c r="D9" s="80"/>
      <c r="E9" s="80"/>
      <c r="F9" s="80"/>
      <c r="G9" s="80"/>
      <c r="H9" s="80"/>
      <c r="I9" s="81"/>
    </row>
    <row r="10" spans="1:16" ht="10.5" customHeight="1" x14ac:dyDescent="0.45">
      <c r="A10" s="34"/>
      <c r="I10" s="35"/>
    </row>
    <row r="11" spans="1:16" ht="42" customHeight="1" thickBot="1" x14ac:dyDescent="0.5">
      <c r="A11" s="5" t="s">
        <v>22</v>
      </c>
      <c r="B11" s="5" t="s">
        <v>0</v>
      </c>
      <c r="C11" s="5" t="s">
        <v>31</v>
      </c>
      <c r="D11" s="5" t="s">
        <v>1</v>
      </c>
      <c r="E11" s="5" t="s">
        <v>32</v>
      </c>
      <c r="F11" s="5" t="s">
        <v>2</v>
      </c>
      <c r="G11" s="5" t="s">
        <v>7</v>
      </c>
      <c r="H11" s="5" t="s">
        <v>25</v>
      </c>
      <c r="I11" s="5" t="s">
        <v>24</v>
      </c>
      <c r="J11" s="9"/>
      <c r="K11" s="17" t="s">
        <v>35</v>
      </c>
      <c r="L11" s="25" t="s">
        <v>36</v>
      </c>
      <c r="M11" s="12" t="s">
        <v>38</v>
      </c>
      <c r="N11" s="21" t="s">
        <v>37</v>
      </c>
      <c r="O11" s="13"/>
    </row>
    <row r="12" spans="1:16" ht="94.9" thickBot="1" x14ac:dyDescent="0.4">
      <c r="A12" s="40" t="s">
        <v>41</v>
      </c>
      <c r="B12" s="39" t="s">
        <v>42</v>
      </c>
      <c r="C12" s="41"/>
      <c r="D12" s="30"/>
      <c r="E12" s="30" t="s">
        <v>44</v>
      </c>
      <c r="F12" s="8"/>
      <c r="G12" s="8"/>
      <c r="H12" s="7"/>
      <c r="I12" s="29">
        <f t="shared" ref="I12" si="0">F12*H12</f>
        <v>0</v>
      </c>
      <c r="J12" s="44"/>
      <c r="K12" s="18"/>
      <c r="L12" s="26"/>
      <c r="M12" s="14">
        <f t="shared" ref="M12" si="1">+K12*L12</f>
        <v>0</v>
      </c>
      <c r="N12" s="22">
        <f t="shared" ref="N12" si="2">+K12+M12</f>
        <v>0</v>
      </c>
      <c r="O12" s="7"/>
      <c r="P12" s="28">
        <f t="shared" ref="P12" si="3">+N12-H12</f>
        <v>0</v>
      </c>
    </row>
    <row r="13" spans="1:16" ht="94.9" thickBot="1" x14ac:dyDescent="0.4">
      <c r="A13" s="40" t="s">
        <v>45</v>
      </c>
      <c r="B13" s="39" t="s">
        <v>42</v>
      </c>
      <c r="C13" s="41"/>
      <c r="D13" s="30"/>
      <c r="E13" s="30" t="s">
        <v>44</v>
      </c>
      <c r="F13" s="8"/>
      <c r="G13" s="8"/>
      <c r="H13" s="7"/>
      <c r="I13" s="29">
        <f t="shared" ref="I13:I32" si="4">F13*H13</f>
        <v>0</v>
      </c>
      <c r="J13" s="44"/>
      <c r="K13" s="18"/>
      <c r="L13" s="26"/>
      <c r="M13" s="14">
        <f t="shared" ref="M13:M31" si="5">+K13*L13</f>
        <v>0</v>
      </c>
      <c r="N13" s="22">
        <f t="shared" ref="N13:N31" si="6">+K13+M13</f>
        <v>0</v>
      </c>
      <c r="O13" s="7"/>
      <c r="P13" s="28">
        <f t="shared" ref="P13:P31" si="7">+N13-H13</f>
        <v>0</v>
      </c>
    </row>
    <row r="14" spans="1:16" ht="94.9" thickBot="1" x14ac:dyDescent="0.4">
      <c r="A14" s="40" t="s">
        <v>46</v>
      </c>
      <c r="B14" s="39" t="s">
        <v>42</v>
      </c>
      <c r="C14" s="41"/>
      <c r="D14" s="30"/>
      <c r="E14" s="30" t="s">
        <v>44</v>
      </c>
      <c r="F14" s="8"/>
      <c r="G14" s="8"/>
      <c r="H14" s="7"/>
      <c r="I14" s="29">
        <f t="shared" si="4"/>
        <v>0</v>
      </c>
      <c r="J14" s="44"/>
      <c r="K14" s="18"/>
      <c r="L14" s="26"/>
      <c r="M14" s="14">
        <f t="shared" si="5"/>
        <v>0</v>
      </c>
      <c r="N14" s="22">
        <f t="shared" si="6"/>
        <v>0</v>
      </c>
      <c r="O14" s="7"/>
      <c r="P14" s="28">
        <f t="shared" si="7"/>
        <v>0</v>
      </c>
    </row>
    <row r="15" spans="1:16" ht="94.9" thickBot="1" x14ac:dyDescent="0.4">
      <c r="A15" s="40" t="s">
        <v>47</v>
      </c>
      <c r="B15" s="39" t="s">
        <v>42</v>
      </c>
      <c r="C15" s="41"/>
      <c r="D15" s="30"/>
      <c r="E15" s="30" t="s">
        <v>44</v>
      </c>
      <c r="F15" s="8"/>
      <c r="G15" s="8"/>
      <c r="H15" s="7"/>
      <c r="I15" s="29">
        <f t="shared" si="4"/>
        <v>0</v>
      </c>
      <c r="J15" s="44"/>
      <c r="K15" s="18"/>
      <c r="L15" s="26"/>
      <c r="M15" s="14">
        <f t="shared" si="5"/>
        <v>0</v>
      </c>
      <c r="N15" s="22">
        <f t="shared" si="6"/>
        <v>0</v>
      </c>
      <c r="O15" s="7"/>
      <c r="P15" s="28">
        <f t="shared" si="7"/>
        <v>0</v>
      </c>
    </row>
    <row r="16" spans="1:16" ht="94.9" thickBot="1" x14ac:dyDescent="0.4">
      <c r="A16" s="40" t="s">
        <v>48</v>
      </c>
      <c r="B16" s="39" t="s">
        <v>42</v>
      </c>
      <c r="C16" s="41"/>
      <c r="D16" s="30"/>
      <c r="E16" s="30" t="s">
        <v>44</v>
      </c>
      <c r="F16" s="8"/>
      <c r="G16" s="8"/>
      <c r="H16" s="7"/>
      <c r="I16" s="29">
        <f t="shared" si="4"/>
        <v>0</v>
      </c>
      <c r="J16" s="44"/>
      <c r="K16" s="18"/>
      <c r="L16" s="26"/>
      <c r="M16" s="14">
        <f t="shared" si="5"/>
        <v>0</v>
      </c>
      <c r="N16" s="22">
        <f t="shared" si="6"/>
        <v>0</v>
      </c>
      <c r="O16" s="7"/>
      <c r="P16" s="28">
        <f t="shared" si="7"/>
        <v>0</v>
      </c>
    </row>
    <row r="17" spans="1:16" ht="94.9" thickBot="1" x14ac:dyDescent="0.4">
      <c r="A17" s="40" t="s">
        <v>49</v>
      </c>
      <c r="B17" s="39" t="s">
        <v>42</v>
      </c>
      <c r="C17" s="41"/>
      <c r="D17" s="30"/>
      <c r="E17" s="30" t="s">
        <v>44</v>
      </c>
      <c r="F17" s="8"/>
      <c r="G17" s="8"/>
      <c r="H17" s="7"/>
      <c r="I17" s="29">
        <f t="shared" si="4"/>
        <v>0</v>
      </c>
      <c r="J17" s="44"/>
      <c r="K17" s="18"/>
      <c r="L17" s="26"/>
      <c r="M17" s="14">
        <f t="shared" si="5"/>
        <v>0</v>
      </c>
      <c r="N17" s="22">
        <f t="shared" si="6"/>
        <v>0</v>
      </c>
      <c r="O17" s="7"/>
      <c r="P17" s="28">
        <f t="shared" si="7"/>
        <v>0</v>
      </c>
    </row>
    <row r="18" spans="1:16" ht="94.9" thickBot="1" x14ac:dyDescent="0.4">
      <c r="A18" s="40" t="s">
        <v>50</v>
      </c>
      <c r="B18" s="39" t="s">
        <v>42</v>
      </c>
      <c r="C18" s="41"/>
      <c r="D18" s="30"/>
      <c r="E18" s="30" t="s">
        <v>44</v>
      </c>
      <c r="F18" s="8"/>
      <c r="G18" s="8"/>
      <c r="H18" s="7"/>
      <c r="I18" s="29">
        <f t="shared" si="4"/>
        <v>0</v>
      </c>
      <c r="J18" s="44"/>
      <c r="K18" s="18"/>
      <c r="L18" s="26"/>
      <c r="M18" s="14">
        <f t="shared" si="5"/>
        <v>0</v>
      </c>
      <c r="N18" s="22">
        <f t="shared" si="6"/>
        <v>0</v>
      </c>
      <c r="O18" s="7"/>
      <c r="P18" s="28">
        <f t="shared" si="7"/>
        <v>0</v>
      </c>
    </row>
    <row r="19" spans="1:16" ht="94.9" thickBot="1" x14ac:dyDescent="0.4">
      <c r="A19" s="40" t="s">
        <v>51</v>
      </c>
      <c r="B19" s="39" t="s">
        <v>42</v>
      </c>
      <c r="C19" s="41"/>
      <c r="D19" s="30"/>
      <c r="E19" s="30" t="s">
        <v>44</v>
      </c>
      <c r="F19" s="8"/>
      <c r="G19" s="8"/>
      <c r="H19" s="7"/>
      <c r="I19" s="29">
        <f t="shared" si="4"/>
        <v>0</v>
      </c>
      <c r="J19" s="44"/>
      <c r="K19" s="18"/>
      <c r="L19" s="26"/>
      <c r="M19" s="14">
        <f t="shared" si="5"/>
        <v>0</v>
      </c>
      <c r="N19" s="22">
        <f t="shared" si="6"/>
        <v>0</v>
      </c>
      <c r="O19" s="7"/>
      <c r="P19" s="28">
        <f t="shared" si="7"/>
        <v>0</v>
      </c>
    </row>
    <row r="20" spans="1:16" ht="94.9" thickBot="1" x14ac:dyDescent="0.4">
      <c r="A20" s="40" t="s">
        <v>52</v>
      </c>
      <c r="B20" s="39" t="s">
        <v>42</v>
      </c>
      <c r="C20" s="41"/>
      <c r="D20" s="30"/>
      <c r="E20" s="30" t="s">
        <v>44</v>
      </c>
      <c r="F20" s="8"/>
      <c r="G20" s="8"/>
      <c r="H20" s="7"/>
      <c r="I20" s="29">
        <f t="shared" si="4"/>
        <v>0</v>
      </c>
      <c r="J20" s="44"/>
      <c r="K20" s="18"/>
      <c r="L20" s="26"/>
      <c r="M20" s="14">
        <f t="shared" si="5"/>
        <v>0</v>
      </c>
      <c r="N20" s="22">
        <f t="shared" si="6"/>
        <v>0</v>
      </c>
      <c r="O20" s="7"/>
      <c r="P20" s="28">
        <f t="shared" si="7"/>
        <v>0</v>
      </c>
    </row>
    <row r="21" spans="1:16" ht="94.9" thickBot="1" x14ac:dyDescent="0.4">
      <c r="A21" s="40" t="s">
        <v>53</v>
      </c>
      <c r="B21" s="39" t="s">
        <v>42</v>
      </c>
      <c r="C21" s="41"/>
      <c r="D21" s="30"/>
      <c r="E21" s="30" t="s">
        <v>44</v>
      </c>
      <c r="F21" s="8"/>
      <c r="G21" s="8"/>
      <c r="H21" s="7"/>
      <c r="I21" s="29">
        <f t="shared" si="4"/>
        <v>0</v>
      </c>
      <c r="J21" s="44"/>
      <c r="K21" s="18"/>
      <c r="L21" s="26"/>
      <c r="M21" s="14">
        <f t="shared" si="5"/>
        <v>0</v>
      </c>
      <c r="N21" s="22">
        <f t="shared" si="6"/>
        <v>0</v>
      </c>
      <c r="O21" s="7"/>
      <c r="P21" s="28">
        <f t="shared" si="7"/>
        <v>0</v>
      </c>
    </row>
    <row r="22" spans="1:16" ht="94.9" thickBot="1" x14ac:dyDescent="0.4">
      <c r="A22" s="40" t="s">
        <v>54</v>
      </c>
      <c r="B22" s="39" t="s">
        <v>42</v>
      </c>
      <c r="C22" s="41"/>
      <c r="D22" s="30"/>
      <c r="E22" s="30" t="s">
        <v>44</v>
      </c>
      <c r="F22" s="8"/>
      <c r="G22" s="8"/>
      <c r="H22" s="7"/>
      <c r="I22" s="29">
        <f t="shared" si="4"/>
        <v>0</v>
      </c>
      <c r="J22" s="44"/>
      <c r="K22" s="18"/>
      <c r="L22" s="26"/>
      <c r="M22" s="14">
        <f t="shared" si="5"/>
        <v>0</v>
      </c>
      <c r="N22" s="22">
        <f t="shared" si="6"/>
        <v>0</v>
      </c>
      <c r="O22" s="7"/>
      <c r="P22" s="28">
        <f t="shared" si="7"/>
        <v>0</v>
      </c>
    </row>
    <row r="23" spans="1:16" ht="94.9" thickBot="1" x14ac:dyDescent="0.4">
      <c r="A23" s="40" t="s">
        <v>55</v>
      </c>
      <c r="B23" s="39" t="s">
        <v>42</v>
      </c>
      <c r="C23" s="41"/>
      <c r="D23" s="30"/>
      <c r="E23" s="30" t="s">
        <v>44</v>
      </c>
      <c r="F23" s="8"/>
      <c r="G23" s="8"/>
      <c r="H23" s="7"/>
      <c r="I23" s="29">
        <f t="shared" si="4"/>
        <v>0</v>
      </c>
      <c r="J23" s="44"/>
      <c r="K23" s="18"/>
      <c r="L23" s="26"/>
      <c r="M23" s="14">
        <f t="shared" si="5"/>
        <v>0</v>
      </c>
      <c r="N23" s="22">
        <f t="shared" si="6"/>
        <v>0</v>
      </c>
      <c r="O23" s="7"/>
      <c r="P23" s="28">
        <f t="shared" si="7"/>
        <v>0</v>
      </c>
    </row>
    <row r="24" spans="1:16" ht="94.9" thickBot="1" x14ac:dyDescent="0.4">
      <c r="A24" s="40" t="s">
        <v>56</v>
      </c>
      <c r="B24" s="39" t="s">
        <v>42</v>
      </c>
      <c r="C24" s="41"/>
      <c r="D24" s="30"/>
      <c r="E24" s="30" t="s">
        <v>44</v>
      </c>
      <c r="F24" s="8"/>
      <c r="G24" s="8"/>
      <c r="H24" s="7"/>
      <c r="I24" s="29">
        <f t="shared" si="4"/>
        <v>0</v>
      </c>
      <c r="J24" s="44"/>
      <c r="K24" s="18"/>
      <c r="L24" s="26"/>
      <c r="M24" s="14">
        <f t="shared" si="5"/>
        <v>0</v>
      </c>
      <c r="N24" s="22">
        <f t="shared" si="6"/>
        <v>0</v>
      </c>
      <c r="O24" s="7"/>
      <c r="P24" s="28">
        <f t="shared" si="7"/>
        <v>0</v>
      </c>
    </row>
    <row r="25" spans="1:16" ht="94.9" thickBot="1" x14ac:dyDescent="0.4">
      <c r="A25" s="40" t="s">
        <v>57</v>
      </c>
      <c r="B25" s="39" t="s">
        <v>42</v>
      </c>
      <c r="C25" s="41"/>
      <c r="D25" s="30"/>
      <c r="E25" s="30" t="s">
        <v>44</v>
      </c>
      <c r="F25" s="8"/>
      <c r="G25" s="8"/>
      <c r="H25" s="7"/>
      <c r="I25" s="29">
        <f t="shared" si="4"/>
        <v>0</v>
      </c>
      <c r="J25" s="44"/>
      <c r="K25" s="18"/>
      <c r="L25" s="26"/>
      <c r="M25" s="14">
        <f t="shared" si="5"/>
        <v>0</v>
      </c>
      <c r="N25" s="22">
        <f t="shared" si="6"/>
        <v>0</v>
      </c>
      <c r="O25" s="7"/>
      <c r="P25" s="28">
        <f t="shared" si="7"/>
        <v>0</v>
      </c>
    </row>
    <row r="26" spans="1:16" ht="94.9" thickBot="1" x14ac:dyDescent="0.4">
      <c r="A26" s="40" t="s">
        <v>58</v>
      </c>
      <c r="B26" s="39" t="s">
        <v>42</v>
      </c>
      <c r="C26" s="41"/>
      <c r="D26" s="30"/>
      <c r="E26" s="30" t="s">
        <v>44</v>
      </c>
      <c r="F26" s="8"/>
      <c r="G26" s="8"/>
      <c r="H26" s="7"/>
      <c r="I26" s="29">
        <f t="shared" si="4"/>
        <v>0</v>
      </c>
      <c r="J26" s="44"/>
      <c r="K26" s="18"/>
      <c r="L26" s="26"/>
      <c r="M26" s="14">
        <f t="shared" si="5"/>
        <v>0</v>
      </c>
      <c r="N26" s="22">
        <f t="shared" si="6"/>
        <v>0</v>
      </c>
      <c r="O26" s="7"/>
      <c r="P26" s="28">
        <f t="shared" si="7"/>
        <v>0</v>
      </c>
    </row>
    <row r="27" spans="1:16" ht="94.9" thickBot="1" x14ac:dyDescent="0.4">
      <c r="A27" s="40" t="s">
        <v>59</v>
      </c>
      <c r="B27" s="39" t="s">
        <v>42</v>
      </c>
      <c r="C27" s="41"/>
      <c r="D27" s="30"/>
      <c r="E27" s="30" t="s">
        <v>44</v>
      </c>
      <c r="F27" s="8"/>
      <c r="G27" s="8"/>
      <c r="H27" s="7"/>
      <c r="I27" s="29">
        <f t="shared" si="4"/>
        <v>0</v>
      </c>
      <c r="J27" s="44"/>
      <c r="K27" s="18"/>
      <c r="L27" s="26"/>
      <c r="M27" s="14">
        <f t="shared" si="5"/>
        <v>0</v>
      </c>
      <c r="N27" s="22">
        <f t="shared" si="6"/>
        <v>0</v>
      </c>
      <c r="O27" s="7"/>
      <c r="P27" s="28">
        <f t="shared" si="7"/>
        <v>0</v>
      </c>
    </row>
    <row r="28" spans="1:16" ht="94.9" thickBot="1" x14ac:dyDescent="0.4">
      <c r="A28" s="40" t="s">
        <v>60</v>
      </c>
      <c r="B28" s="39" t="s">
        <v>42</v>
      </c>
      <c r="C28" s="41"/>
      <c r="D28" s="30"/>
      <c r="E28" s="30" t="s">
        <v>44</v>
      </c>
      <c r="F28" s="8"/>
      <c r="G28" s="8"/>
      <c r="H28" s="7"/>
      <c r="I28" s="29">
        <f t="shared" si="4"/>
        <v>0</v>
      </c>
      <c r="J28" s="44"/>
      <c r="K28" s="18"/>
      <c r="L28" s="26"/>
      <c r="M28" s="14">
        <f t="shared" si="5"/>
        <v>0</v>
      </c>
      <c r="N28" s="22">
        <f t="shared" si="6"/>
        <v>0</v>
      </c>
      <c r="O28" s="7"/>
      <c r="P28" s="28">
        <f t="shared" si="7"/>
        <v>0</v>
      </c>
    </row>
    <row r="29" spans="1:16" ht="94.9" thickBot="1" x14ac:dyDescent="0.4">
      <c r="A29" s="40" t="s">
        <v>61</v>
      </c>
      <c r="B29" s="39" t="s">
        <v>42</v>
      </c>
      <c r="C29" s="41"/>
      <c r="D29" s="30"/>
      <c r="E29" s="30" t="s">
        <v>44</v>
      </c>
      <c r="F29" s="8"/>
      <c r="G29" s="8"/>
      <c r="H29" s="7"/>
      <c r="I29" s="29">
        <f t="shared" si="4"/>
        <v>0</v>
      </c>
      <c r="J29" s="44"/>
      <c r="K29" s="18"/>
      <c r="L29" s="26"/>
      <c r="M29" s="14">
        <f t="shared" si="5"/>
        <v>0</v>
      </c>
      <c r="N29" s="22">
        <f t="shared" si="6"/>
        <v>0</v>
      </c>
      <c r="O29" s="7"/>
      <c r="P29" s="28">
        <f t="shared" si="7"/>
        <v>0</v>
      </c>
    </row>
    <row r="30" spans="1:16" ht="94.9" thickBot="1" x14ac:dyDescent="0.4">
      <c r="A30" s="40" t="s">
        <v>62</v>
      </c>
      <c r="B30" s="39" t="s">
        <v>42</v>
      </c>
      <c r="C30" s="41"/>
      <c r="D30" s="30"/>
      <c r="E30" s="30" t="s">
        <v>44</v>
      </c>
      <c r="F30" s="8"/>
      <c r="G30" s="8"/>
      <c r="H30" s="7"/>
      <c r="I30" s="29">
        <f t="shared" si="4"/>
        <v>0</v>
      </c>
      <c r="J30" s="44"/>
      <c r="K30" s="18"/>
      <c r="L30" s="26"/>
      <c r="M30" s="14">
        <f t="shared" si="5"/>
        <v>0</v>
      </c>
      <c r="N30" s="22">
        <f t="shared" si="6"/>
        <v>0</v>
      </c>
      <c r="O30" s="7"/>
      <c r="P30" s="28">
        <f t="shared" si="7"/>
        <v>0</v>
      </c>
    </row>
    <row r="31" spans="1:16" ht="94.9" thickBot="1" x14ac:dyDescent="0.4">
      <c r="A31" s="40" t="s">
        <v>63</v>
      </c>
      <c r="B31" s="39" t="s">
        <v>42</v>
      </c>
      <c r="C31" s="41"/>
      <c r="D31" s="30"/>
      <c r="E31" s="30" t="s">
        <v>44</v>
      </c>
      <c r="F31" s="8"/>
      <c r="G31" s="8"/>
      <c r="H31" s="7"/>
      <c r="I31" s="29">
        <f t="shared" si="4"/>
        <v>0</v>
      </c>
      <c r="J31" s="44"/>
      <c r="K31" s="18"/>
      <c r="L31" s="26"/>
      <c r="M31" s="14">
        <f t="shared" si="5"/>
        <v>0</v>
      </c>
      <c r="N31" s="22">
        <f t="shared" si="6"/>
        <v>0</v>
      </c>
      <c r="O31" s="7"/>
      <c r="P31" s="28">
        <f t="shared" si="7"/>
        <v>0</v>
      </c>
    </row>
    <row r="32" spans="1:16" ht="107.25" customHeight="1" x14ac:dyDescent="0.45">
      <c r="A32" s="40" t="s">
        <v>64</v>
      </c>
      <c r="B32" s="39" t="s">
        <v>42</v>
      </c>
      <c r="C32" s="41"/>
      <c r="D32" s="30"/>
      <c r="E32" s="30" t="s">
        <v>44</v>
      </c>
      <c r="F32" s="8"/>
      <c r="G32" s="8"/>
      <c r="H32" s="7"/>
      <c r="I32" s="29">
        <f t="shared" si="4"/>
        <v>0</v>
      </c>
    </row>
    <row r="33" spans="1:20" ht="87.75" customHeight="1" x14ac:dyDescent="0.45">
      <c r="A33" s="40" t="s">
        <v>65</v>
      </c>
      <c r="B33" s="39" t="s">
        <v>42</v>
      </c>
      <c r="C33" s="41"/>
      <c r="D33" s="30"/>
      <c r="E33" s="30" t="s">
        <v>44</v>
      </c>
      <c r="F33" s="8"/>
      <c r="G33" s="8"/>
      <c r="H33" s="7"/>
      <c r="I33" s="29">
        <f t="shared" ref="I33:I96" si="8">F33*H33</f>
        <v>0</v>
      </c>
      <c r="J33" s="45"/>
      <c r="N33" s="32"/>
    </row>
    <row r="34" spans="1:20" ht="95.25" customHeight="1" x14ac:dyDescent="0.45">
      <c r="A34" s="40" t="s">
        <v>66</v>
      </c>
      <c r="B34" s="39" t="s">
        <v>42</v>
      </c>
      <c r="C34" s="41"/>
      <c r="D34" s="30"/>
      <c r="E34" s="30" t="s">
        <v>44</v>
      </c>
      <c r="F34" s="8"/>
      <c r="G34" s="8"/>
      <c r="H34" s="7"/>
      <c r="I34" s="29">
        <f t="shared" si="8"/>
        <v>0</v>
      </c>
      <c r="J34" s="45"/>
      <c r="N34" s="32"/>
    </row>
    <row r="35" spans="1:20" ht="94.5" x14ac:dyDescent="0.4">
      <c r="A35" s="40" t="s">
        <v>67</v>
      </c>
      <c r="B35" s="39" t="s">
        <v>42</v>
      </c>
      <c r="C35" s="41"/>
      <c r="D35" s="30"/>
      <c r="E35" s="30" t="s">
        <v>44</v>
      </c>
      <c r="F35" s="8"/>
      <c r="G35" s="8"/>
      <c r="H35" s="7"/>
      <c r="I35" s="29">
        <f t="shared" si="8"/>
        <v>0</v>
      </c>
      <c r="J35" s="45"/>
      <c r="N35" s="32"/>
      <c r="O35" s="6"/>
      <c r="P35" s="33"/>
      <c r="Q35" s="6"/>
      <c r="R35" s="6"/>
      <c r="S35" s="6"/>
      <c r="T35" s="6"/>
    </row>
    <row r="36" spans="1:20" ht="80.25" customHeight="1" x14ac:dyDescent="0.4">
      <c r="A36" s="40" t="s">
        <v>68</v>
      </c>
      <c r="B36" s="39" t="s">
        <v>42</v>
      </c>
      <c r="C36" s="41"/>
      <c r="D36" s="30"/>
      <c r="E36" s="30" t="s">
        <v>44</v>
      </c>
      <c r="F36" s="8"/>
      <c r="G36" s="8"/>
      <c r="H36" s="7"/>
      <c r="I36" s="29">
        <f t="shared" si="8"/>
        <v>0</v>
      </c>
      <c r="J36" s="45"/>
      <c r="N36" s="32"/>
      <c r="O36" s="6"/>
      <c r="P36" s="33"/>
      <c r="Q36" s="6"/>
      <c r="R36" s="6"/>
      <c r="S36" s="6"/>
      <c r="T36" s="6"/>
    </row>
    <row r="37" spans="1:20" ht="89.25" customHeight="1" x14ac:dyDescent="0.4">
      <c r="A37" s="40" t="s">
        <v>69</v>
      </c>
      <c r="B37" s="39" t="s">
        <v>42</v>
      </c>
      <c r="C37" s="41"/>
      <c r="D37" s="30"/>
      <c r="E37" s="30" t="s">
        <v>44</v>
      </c>
      <c r="F37" s="8"/>
      <c r="G37" s="8"/>
      <c r="H37" s="7"/>
      <c r="I37" s="29">
        <f t="shared" si="8"/>
        <v>0</v>
      </c>
      <c r="J37" s="45"/>
      <c r="N37" s="32"/>
      <c r="O37" s="6"/>
      <c r="P37" s="33"/>
      <c r="Q37" s="6"/>
      <c r="R37" s="6"/>
      <c r="S37" s="6"/>
      <c r="T37" s="6"/>
    </row>
    <row r="38" spans="1:20" ht="76.5" customHeight="1" x14ac:dyDescent="0.4">
      <c r="A38" s="40" t="s">
        <v>70</v>
      </c>
      <c r="B38" s="39" t="s">
        <v>42</v>
      </c>
      <c r="C38" s="41"/>
      <c r="D38" s="30"/>
      <c r="E38" s="30" t="s">
        <v>44</v>
      </c>
      <c r="F38" s="8"/>
      <c r="G38" s="8"/>
      <c r="H38" s="7"/>
      <c r="I38" s="29">
        <f t="shared" si="8"/>
        <v>0</v>
      </c>
      <c r="J38" s="45"/>
      <c r="N38" s="32"/>
      <c r="O38" s="6"/>
      <c r="P38" s="33"/>
      <c r="Q38" s="6"/>
      <c r="R38" s="6"/>
      <c r="S38" s="6"/>
      <c r="T38" s="6"/>
    </row>
    <row r="39" spans="1:20" ht="96" customHeight="1" x14ac:dyDescent="0.45">
      <c r="A39" s="40" t="s">
        <v>71</v>
      </c>
      <c r="B39" s="39" t="s">
        <v>42</v>
      </c>
      <c r="C39" s="41"/>
      <c r="D39" s="30"/>
      <c r="E39" s="30" t="s">
        <v>44</v>
      </c>
      <c r="F39" s="8"/>
      <c r="G39" s="8"/>
      <c r="H39" s="7"/>
      <c r="I39" s="29">
        <f t="shared" si="8"/>
        <v>0</v>
      </c>
      <c r="J39" s="45"/>
      <c r="N39" s="32"/>
    </row>
    <row r="40" spans="1:20" ht="111.75" customHeight="1" x14ac:dyDescent="0.45">
      <c r="A40" s="40" t="s">
        <v>72</v>
      </c>
      <c r="B40" s="39" t="s">
        <v>42</v>
      </c>
      <c r="C40" s="41"/>
      <c r="D40" s="30"/>
      <c r="E40" s="30" t="s">
        <v>44</v>
      </c>
      <c r="F40" s="8"/>
      <c r="G40" s="8"/>
      <c r="H40" s="7"/>
      <c r="I40" s="29">
        <f t="shared" si="8"/>
        <v>0</v>
      </c>
      <c r="J40" s="45"/>
      <c r="N40" s="32"/>
    </row>
    <row r="41" spans="1:20" ht="94.5" x14ac:dyDescent="0.45">
      <c r="A41" s="40" t="s">
        <v>73</v>
      </c>
      <c r="B41" s="39" t="s">
        <v>42</v>
      </c>
      <c r="C41" s="41"/>
      <c r="D41" s="30"/>
      <c r="E41" s="30" t="s">
        <v>44</v>
      </c>
      <c r="F41" s="8"/>
      <c r="G41" s="8"/>
      <c r="H41" s="7"/>
      <c r="I41" s="29">
        <f t="shared" si="8"/>
        <v>0</v>
      </c>
      <c r="J41" s="45"/>
      <c r="N41" s="32"/>
    </row>
    <row r="42" spans="1:20" ht="94.5" x14ac:dyDescent="0.45">
      <c r="A42" s="40" t="s">
        <v>74</v>
      </c>
      <c r="B42" s="39" t="s">
        <v>42</v>
      </c>
      <c r="C42" s="41"/>
      <c r="D42" s="30"/>
      <c r="E42" s="30" t="s">
        <v>44</v>
      </c>
      <c r="F42" s="8"/>
      <c r="G42" s="8"/>
      <c r="H42" s="7"/>
      <c r="I42" s="29">
        <f t="shared" si="8"/>
        <v>0</v>
      </c>
      <c r="J42" s="45"/>
      <c r="N42" s="32"/>
    </row>
    <row r="43" spans="1:20" ht="94.5" x14ac:dyDescent="0.45">
      <c r="A43" s="40" t="s">
        <v>75</v>
      </c>
      <c r="B43" s="39" t="s">
        <v>42</v>
      </c>
      <c r="C43" s="41"/>
      <c r="D43" s="30"/>
      <c r="E43" s="30" t="s">
        <v>44</v>
      </c>
      <c r="F43" s="8"/>
      <c r="G43" s="8"/>
      <c r="H43" s="7"/>
      <c r="I43" s="29">
        <f t="shared" si="8"/>
        <v>0</v>
      </c>
      <c r="J43" s="45"/>
      <c r="N43" s="32"/>
    </row>
    <row r="44" spans="1:20" ht="94.5" x14ac:dyDescent="0.45">
      <c r="A44" s="40" t="s">
        <v>76</v>
      </c>
      <c r="B44" s="39" t="s">
        <v>42</v>
      </c>
      <c r="C44" s="41"/>
      <c r="D44" s="30"/>
      <c r="E44" s="30" t="s">
        <v>44</v>
      </c>
      <c r="F44" s="8"/>
      <c r="G44" s="8"/>
      <c r="H44" s="7"/>
      <c r="I44" s="29">
        <f t="shared" si="8"/>
        <v>0</v>
      </c>
      <c r="J44" s="45"/>
      <c r="N44" s="32"/>
    </row>
    <row r="45" spans="1:20" ht="94.5" x14ac:dyDescent="0.45">
      <c r="A45" s="40" t="s">
        <v>77</v>
      </c>
      <c r="B45" s="39" t="s">
        <v>42</v>
      </c>
      <c r="C45" s="41"/>
      <c r="D45" s="30"/>
      <c r="E45" s="30" t="s">
        <v>44</v>
      </c>
      <c r="F45" s="8"/>
      <c r="G45" s="8"/>
      <c r="H45" s="7"/>
      <c r="I45" s="29">
        <f t="shared" si="8"/>
        <v>0</v>
      </c>
      <c r="J45" s="45"/>
      <c r="N45" s="32"/>
    </row>
    <row r="46" spans="1:20" ht="94.5" x14ac:dyDescent="0.45">
      <c r="A46" s="40" t="s">
        <v>78</v>
      </c>
      <c r="B46" s="39" t="s">
        <v>42</v>
      </c>
      <c r="C46" s="41"/>
      <c r="D46" s="30"/>
      <c r="E46" s="30" t="s">
        <v>44</v>
      </c>
      <c r="F46" s="8"/>
      <c r="G46" s="8"/>
      <c r="H46" s="7"/>
      <c r="I46" s="29">
        <f t="shared" si="8"/>
        <v>0</v>
      </c>
    </row>
    <row r="47" spans="1:20" ht="94.5" x14ac:dyDescent="0.45">
      <c r="A47" s="40" t="s">
        <v>79</v>
      </c>
      <c r="B47" s="39" t="s">
        <v>42</v>
      </c>
      <c r="C47" s="41"/>
      <c r="D47" s="30"/>
      <c r="E47" s="30" t="s">
        <v>44</v>
      </c>
      <c r="F47" s="8"/>
      <c r="G47" s="8"/>
      <c r="H47" s="7"/>
      <c r="I47" s="29">
        <f t="shared" si="8"/>
        <v>0</v>
      </c>
    </row>
    <row r="48" spans="1:20" ht="94.5" x14ac:dyDescent="0.45">
      <c r="A48" s="40" t="s">
        <v>80</v>
      </c>
      <c r="B48" s="39" t="s">
        <v>42</v>
      </c>
      <c r="C48" s="41"/>
      <c r="D48" s="30"/>
      <c r="E48" s="30" t="s">
        <v>44</v>
      </c>
      <c r="F48" s="8"/>
      <c r="G48" s="8"/>
      <c r="H48" s="7"/>
      <c r="I48" s="29">
        <f t="shared" si="8"/>
        <v>0</v>
      </c>
    </row>
    <row r="49" spans="1:9" ht="94.5" x14ac:dyDescent="0.45">
      <c r="A49" s="40" t="s">
        <v>81</v>
      </c>
      <c r="B49" s="39" t="s">
        <v>42</v>
      </c>
      <c r="C49" s="41"/>
      <c r="D49" s="30"/>
      <c r="E49" s="30" t="s">
        <v>44</v>
      </c>
      <c r="F49" s="8"/>
      <c r="G49" s="8"/>
      <c r="H49" s="7"/>
      <c r="I49" s="29">
        <f t="shared" si="8"/>
        <v>0</v>
      </c>
    </row>
    <row r="50" spans="1:9" ht="94.5" x14ac:dyDescent="0.45">
      <c r="A50" s="40" t="s">
        <v>82</v>
      </c>
      <c r="B50" s="39" t="s">
        <v>42</v>
      </c>
      <c r="C50" s="41"/>
      <c r="D50" s="30"/>
      <c r="E50" s="30" t="s">
        <v>44</v>
      </c>
      <c r="F50" s="8"/>
      <c r="G50" s="8"/>
      <c r="H50" s="7"/>
      <c r="I50" s="29">
        <f t="shared" si="8"/>
        <v>0</v>
      </c>
    </row>
    <row r="51" spans="1:9" ht="94.5" x14ac:dyDescent="0.45">
      <c r="A51" s="40" t="s">
        <v>83</v>
      </c>
      <c r="B51" s="39" t="s">
        <v>42</v>
      </c>
      <c r="C51" s="41"/>
      <c r="D51" s="30"/>
      <c r="E51" s="30" t="s">
        <v>44</v>
      </c>
      <c r="F51" s="8"/>
      <c r="G51" s="8"/>
      <c r="H51" s="7"/>
      <c r="I51" s="29">
        <f t="shared" si="8"/>
        <v>0</v>
      </c>
    </row>
    <row r="52" spans="1:9" ht="94.5" x14ac:dyDescent="0.45">
      <c r="A52" s="40" t="s">
        <v>84</v>
      </c>
      <c r="B52" s="39" t="s">
        <v>42</v>
      </c>
      <c r="C52" s="41"/>
      <c r="D52" s="30"/>
      <c r="E52" s="30" t="s">
        <v>44</v>
      </c>
      <c r="F52" s="8"/>
      <c r="G52" s="8"/>
      <c r="H52" s="7"/>
      <c r="I52" s="29">
        <f t="shared" si="8"/>
        <v>0</v>
      </c>
    </row>
    <row r="53" spans="1:9" ht="94.5" x14ac:dyDescent="0.45">
      <c r="A53" s="40" t="s">
        <v>85</v>
      </c>
      <c r="B53" s="39" t="s">
        <v>42</v>
      </c>
      <c r="C53" s="41"/>
      <c r="D53" s="30"/>
      <c r="E53" s="30" t="s">
        <v>44</v>
      </c>
      <c r="F53" s="8"/>
      <c r="G53" s="8"/>
      <c r="H53" s="7"/>
      <c r="I53" s="29">
        <f t="shared" si="8"/>
        <v>0</v>
      </c>
    </row>
    <row r="54" spans="1:9" ht="94.5" x14ac:dyDescent="0.45">
      <c r="A54" s="40" t="s">
        <v>86</v>
      </c>
      <c r="B54" s="39" t="s">
        <v>42</v>
      </c>
      <c r="C54" s="41"/>
      <c r="D54" s="30"/>
      <c r="E54" s="30" t="s">
        <v>44</v>
      </c>
      <c r="F54" s="8"/>
      <c r="G54" s="8"/>
      <c r="H54" s="7"/>
      <c r="I54" s="29">
        <f t="shared" si="8"/>
        <v>0</v>
      </c>
    </row>
    <row r="55" spans="1:9" ht="94.5" x14ac:dyDescent="0.45">
      <c r="A55" s="40" t="s">
        <v>87</v>
      </c>
      <c r="B55" s="39" t="s">
        <v>42</v>
      </c>
      <c r="C55" s="41"/>
      <c r="D55" s="30"/>
      <c r="E55" s="30" t="s">
        <v>44</v>
      </c>
      <c r="F55" s="8"/>
      <c r="G55" s="8"/>
      <c r="H55" s="7"/>
      <c r="I55" s="29">
        <f t="shared" si="8"/>
        <v>0</v>
      </c>
    </row>
    <row r="56" spans="1:9" ht="94.5" x14ac:dyDescent="0.45">
      <c r="A56" s="40" t="s">
        <v>88</v>
      </c>
      <c r="B56" s="39" t="s">
        <v>42</v>
      </c>
      <c r="C56" s="41"/>
      <c r="D56" s="30"/>
      <c r="E56" s="30" t="s">
        <v>44</v>
      </c>
      <c r="F56" s="8"/>
      <c r="G56" s="8"/>
      <c r="H56" s="7"/>
      <c r="I56" s="29">
        <f t="shared" si="8"/>
        <v>0</v>
      </c>
    </row>
    <row r="57" spans="1:9" ht="94.5" x14ac:dyDescent="0.45">
      <c r="A57" s="40" t="s">
        <v>89</v>
      </c>
      <c r="B57" s="39" t="s">
        <v>42</v>
      </c>
      <c r="C57" s="41"/>
      <c r="D57" s="30"/>
      <c r="E57" s="30" t="s">
        <v>44</v>
      </c>
      <c r="F57" s="8"/>
      <c r="G57" s="8"/>
      <c r="H57" s="7"/>
      <c r="I57" s="29">
        <f t="shared" si="8"/>
        <v>0</v>
      </c>
    </row>
    <row r="58" spans="1:9" ht="94.5" x14ac:dyDescent="0.45">
      <c r="A58" s="40" t="s">
        <v>90</v>
      </c>
      <c r="B58" s="39" t="s">
        <v>42</v>
      </c>
      <c r="C58" s="41"/>
      <c r="D58" s="30"/>
      <c r="E58" s="30" t="s">
        <v>44</v>
      </c>
      <c r="F58" s="8"/>
      <c r="G58" s="8"/>
      <c r="H58" s="7"/>
      <c r="I58" s="29">
        <f t="shared" si="8"/>
        <v>0</v>
      </c>
    </row>
    <row r="59" spans="1:9" ht="94.5" x14ac:dyDescent="0.45">
      <c r="A59" s="40" t="s">
        <v>91</v>
      </c>
      <c r="B59" s="39" t="s">
        <v>42</v>
      </c>
      <c r="C59" s="41"/>
      <c r="D59" s="30"/>
      <c r="E59" s="30" t="s">
        <v>44</v>
      </c>
      <c r="F59" s="8"/>
      <c r="G59" s="8"/>
      <c r="H59" s="7"/>
      <c r="I59" s="29">
        <f t="shared" si="8"/>
        <v>0</v>
      </c>
    </row>
    <row r="60" spans="1:9" ht="94.5" x14ac:dyDescent="0.45">
      <c r="A60" s="40" t="s">
        <v>92</v>
      </c>
      <c r="B60" s="39" t="s">
        <v>42</v>
      </c>
      <c r="C60" s="41"/>
      <c r="D60" s="30"/>
      <c r="E60" s="30" t="s">
        <v>44</v>
      </c>
      <c r="F60" s="8"/>
      <c r="G60" s="8"/>
      <c r="H60" s="7"/>
      <c r="I60" s="29">
        <f t="shared" si="8"/>
        <v>0</v>
      </c>
    </row>
    <row r="61" spans="1:9" ht="94.5" x14ac:dyDescent="0.45">
      <c r="A61" s="40" t="s">
        <v>93</v>
      </c>
      <c r="B61" s="39" t="s">
        <v>42</v>
      </c>
      <c r="C61" s="41"/>
      <c r="D61" s="30"/>
      <c r="E61" s="30" t="s">
        <v>44</v>
      </c>
      <c r="F61" s="8"/>
      <c r="G61" s="8"/>
      <c r="H61" s="7"/>
      <c r="I61" s="29">
        <f t="shared" si="8"/>
        <v>0</v>
      </c>
    </row>
    <row r="62" spans="1:9" ht="94.5" x14ac:dyDescent="0.45">
      <c r="A62" s="40" t="s">
        <v>94</v>
      </c>
      <c r="B62" s="39" t="s">
        <v>42</v>
      </c>
      <c r="C62" s="41"/>
      <c r="D62" s="30"/>
      <c r="E62" s="30" t="s">
        <v>44</v>
      </c>
      <c r="F62" s="8"/>
      <c r="G62" s="8"/>
      <c r="H62" s="7"/>
      <c r="I62" s="29">
        <f t="shared" si="8"/>
        <v>0</v>
      </c>
    </row>
    <row r="63" spans="1:9" ht="94.5" x14ac:dyDescent="0.45">
      <c r="A63" s="40" t="s">
        <v>95</v>
      </c>
      <c r="B63" s="39" t="s">
        <v>42</v>
      </c>
      <c r="C63" s="41"/>
      <c r="D63" s="30"/>
      <c r="E63" s="30" t="s">
        <v>44</v>
      </c>
      <c r="F63" s="8"/>
      <c r="G63" s="8"/>
      <c r="H63" s="7"/>
      <c r="I63" s="29">
        <f t="shared" si="8"/>
        <v>0</v>
      </c>
    </row>
    <row r="64" spans="1:9" ht="94.5" x14ac:dyDescent="0.45">
      <c r="A64" s="40" t="s">
        <v>96</v>
      </c>
      <c r="B64" s="39" t="s">
        <v>42</v>
      </c>
      <c r="C64" s="41"/>
      <c r="D64" s="30"/>
      <c r="E64" s="30" t="s">
        <v>44</v>
      </c>
      <c r="F64" s="8"/>
      <c r="G64" s="8"/>
      <c r="H64" s="7"/>
      <c r="I64" s="29">
        <f t="shared" si="8"/>
        <v>0</v>
      </c>
    </row>
    <row r="65" spans="1:9" ht="94.5" x14ac:dyDescent="0.45">
      <c r="A65" s="40" t="s">
        <v>97</v>
      </c>
      <c r="B65" s="39" t="s">
        <v>42</v>
      </c>
      <c r="C65" s="41"/>
      <c r="D65" s="30"/>
      <c r="E65" s="30" t="s">
        <v>44</v>
      </c>
      <c r="F65" s="8"/>
      <c r="G65" s="8"/>
      <c r="H65" s="7"/>
      <c r="I65" s="29">
        <f t="shared" si="8"/>
        <v>0</v>
      </c>
    </row>
    <row r="66" spans="1:9" ht="94.5" x14ac:dyDescent="0.45">
      <c r="A66" s="40" t="s">
        <v>98</v>
      </c>
      <c r="B66" s="39" t="s">
        <v>42</v>
      </c>
      <c r="C66" s="41"/>
      <c r="D66" s="30"/>
      <c r="E66" s="30" t="s">
        <v>44</v>
      </c>
      <c r="F66" s="8"/>
      <c r="G66" s="8"/>
      <c r="H66" s="7"/>
      <c r="I66" s="29">
        <f t="shared" si="8"/>
        <v>0</v>
      </c>
    </row>
    <row r="67" spans="1:9" ht="94.5" x14ac:dyDescent="0.45">
      <c r="A67" s="40" t="s">
        <v>99</v>
      </c>
      <c r="B67" s="39" t="s">
        <v>42</v>
      </c>
      <c r="C67" s="41"/>
      <c r="D67" s="30"/>
      <c r="E67" s="30" t="s">
        <v>44</v>
      </c>
      <c r="F67" s="8"/>
      <c r="G67" s="8"/>
      <c r="H67" s="7"/>
      <c r="I67" s="29">
        <f t="shared" si="8"/>
        <v>0</v>
      </c>
    </row>
    <row r="68" spans="1:9" ht="94.5" x14ac:dyDescent="0.45">
      <c r="A68" s="40" t="s">
        <v>100</v>
      </c>
      <c r="B68" s="39" t="s">
        <v>42</v>
      </c>
      <c r="C68" s="41"/>
      <c r="D68" s="30"/>
      <c r="E68" s="30" t="s">
        <v>44</v>
      </c>
      <c r="F68" s="8"/>
      <c r="G68" s="8"/>
      <c r="H68" s="7"/>
      <c r="I68" s="29">
        <f t="shared" si="8"/>
        <v>0</v>
      </c>
    </row>
    <row r="69" spans="1:9" ht="94.5" x14ac:dyDescent="0.45">
      <c r="A69" s="40" t="s">
        <v>101</v>
      </c>
      <c r="B69" s="39" t="s">
        <v>42</v>
      </c>
      <c r="C69" s="41"/>
      <c r="D69" s="30"/>
      <c r="E69" s="30" t="s">
        <v>44</v>
      </c>
      <c r="F69" s="8"/>
      <c r="G69" s="8"/>
      <c r="H69" s="7"/>
      <c r="I69" s="29">
        <f t="shared" si="8"/>
        <v>0</v>
      </c>
    </row>
    <row r="70" spans="1:9" ht="94.5" x14ac:dyDescent="0.45">
      <c r="A70" s="40" t="s">
        <v>102</v>
      </c>
      <c r="B70" s="39" t="s">
        <v>42</v>
      </c>
      <c r="C70" s="41"/>
      <c r="D70" s="30"/>
      <c r="E70" s="30" t="s">
        <v>44</v>
      </c>
      <c r="F70" s="8"/>
      <c r="G70" s="8"/>
      <c r="H70" s="7"/>
      <c r="I70" s="29">
        <f t="shared" si="8"/>
        <v>0</v>
      </c>
    </row>
    <row r="71" spans="1:9" ht="94.5" x14ac:dyDescent="0.45">
      <c r="A71" s="40" t="s">
        <v>103</v>
      </c>
      <c r="B71" s="39" t="s">
        <v>42</v>
      </c>
      <c r="C71" s="41"/>
      <c r="D71" s="30"/>
      <c r="E71" s="30" t="s">
        <v>44</v>
      </c>
      <c r="F71" s="8"/>
      <c r="G71" s="8"/>
      <c r="H71" s="7"/>
      <c r="I71" s="29">
        <f t="shared" si="8"/>
        <v>0</v>
      </c>
    </row>
    <row r="72" spans="1:9" ht="94.5" x14ac:dyDescent="0.45">
      <c r="A72" s="40" t="s">
        <v>104</v>
      </c>
      <c r="B72" s="39" t="s">
        <v>42</v>
      </c>
      <c r="C72" s="41"/>
      <c r="D72" s="30"/>
      <c r="E72" s="30" t="s">
        <v>44</v>
      </c>
      <c r="F72" s="8"/>
      <c r="G72" s="8"/>
      <c r="H72" s="7"/>
      <c r="I72" s="29">
        <f t="shared" si="8"/>
        <v>0</v>
      </c>
    </row>
    <row r="73" spans="1:9" ht="94.5" x14ac:dyDescent="0.45">
      <c r="A73" s="40" t="s">
        <v>105</v>
      </c>
      <c r="B73" s="39" t="s">
        <v>42</v>
      </c>
      <c r="C73" s="41"/>
      <c r="D73" s="30"/>
      <c r="E73" s="30" t="s">
        <v>44</v>
      </c>
      <c r="F73" s="8"/>
      <c r="G73" s="8"/>
      <c r="H73" s="7"/>
      <c r="I73" s="29">
        <f t="shared" si="8"/>
        <v>0</v>
      </c>
    </row>
    <row r="74" spans="1:9" ht="94.5" x14ac:dyDescent="0.45">
      <c r="A74" s="40" t="s">
        <v>106</v>
      </c>
      <c r="B74" s="39" t="s">
        <v>42</v>
      </c>
      <c r="C74" s="41"/>
      <c r="D74" s="30"/>
      <c r="E74" s="30" t="s">
        <v>44</v>
      </c>
      <c r="F74" s="8"/>
      <c r="G74" s="8"/>
      <c r="H74" s="7"/>
      <c r="I74" s="29">
        <f t="shared" si="8"/>
        <v>0</v>
      </c>
    </row>
    <row r="75" spans="1:9" ht="94.5" x14ac:dyDescent="0.45">
      <c r="A75" s="40" t="s">
        <v>107</v>
      </c>
      <c r="B75" s="39" t="s">
        <v>42</v>
      </c>
      <c r="C75" s="41"/>
      <c r="D75" s="30"/>
      <c r="E75" s="30" t="s">
        <v>44</v>
      </c>
      <c r="F75" s="8"/>
      <c r="G75" s="8"/>
      <c r="H75" s="7"/>
      <c r="I75" s="29">
        <f t="shared" si="8"/>
        <v>0</v>
      </c>
    </row>
    <row r="76" spans="1:9" ht="94.5" x14ac:dyDescent="0.45">
      <c r="A76" s="40" t="s">
        <v>108</v>
      </c>
      <c r="B76" s="39" t="s">
        <v>42</v>
      </c>
      <c r="C76" s="41"/>
      <c r="D76" s="30"/>
      <c r="E76" s="30" t="s">
        <v>44</v>
      </c>
      <c r="F76" s="8"/>
      <c r="G76" s="8"/>
      <c r="H76" s="7"/>
      <c r="I76" s="29">
        <f t="shared" si="8"/>
        <v>0</v>
      </c>
    </row>
    <row r="77" spans="1:9" ht="94.5" x14ac:dyDescent="0.45">
      <c r="A77" s="40" t="s">
        <v>109</v>
      </c>
      <c r="B77" s="39" t="s">
        <v>42</v>
      </c>
      <c r="C77" s="41"/>
      <c r="D77" s="30"/>
      <c r="E77" s="30" t="s">
        <v>44</v>
      </c>
      <c r="F77" s="8"/>
      <c r="G77" s="8"/>
      <c r="H77" s="7"/>
      <c r="I77" s="29">
        <f t="shared" si="8"/>
        <v>0</v>
      </c>
    </row>
    <row r="78" spans="1:9" ht="94.5" x14ac:dyDescent="0.45">
      <c r="A78" s="40" t="s">
        <v>110</v>
      </c>
      <c r="B78" s="39" t="s">
        <v>42</v>
      </c>
      <c r="C78" s="41"/>
      <c r="D78" s="30"/>
      <c r="E78" s="30" t="s">
        <v>44</v>
      </c>
      <c r="F78" s="8"/>
      <c r="G78" s="8"/>
      <c r="H78" s="7"/>
      <c r="I78" s="29">
        <f t="shared" si="8"/>
        <v>0</v>
      </c>
    </row>
    <row r="79" spans="1:9" ht="94.5" x14ac:dyDescent="0.45">
      <c r="A79" s="40" t="s">
        <v>111</v>
      </c>
      <c r="B79" s="39" t="s">
        <v>42</v>
      </c>
      <c r="C79" s="41"/>
      <c r="D79" s="30"/>
      <c r="E79" s="30" t="s">
        <v>44</v>
      </c>
      <c r="F79" s="8"/>
      <c r="G79" s="8"/>
      <c r="H79" s="7"/>
      <c r="I79" s="29">
        <f t="shared" si="8"/>
        <v>0</v>
      </c>
    </row>
    <row r="80" spans="1:9" ht="94.5" x14ac:dyDescent="0.45">
      <c r="A80" s="40" t="s">
        <v>112</v>
      </c>
      <c r="B80" s="39" t="s">
        <v>42</v>
      </c>
      <c r="C80" s="41"/>
      <c r="D80" s="30"/>
      <c r="E80" s="30" t="s">
        <v>44</v>
      </c>
      <c r="F80" s="8"/>
      <c r="G80" s="8"/>
      <c r="H80" s="7"/>
      <c r="I80" s="29">
        <f t="shared" si="8"/>
        <v>0</v>
      </c>
    </row>
    <row r="81" spans="1:9" ht="94.5" x14ac:dyDescent="0.45">
      <c r="A81" s="40" t="s">
        <v>113</v>
      </c>
      <c r="B81" s="39" t="s">
        <v>42</v>
      </c>
      <c r="C81" s="41"/>
      <c r="D81" s="30"/>
      <c r="E81" s="30" t="s">
        <v>44</v>
      </c>
      <c r="F81" s="8"/>
      <c r="G81" s="8"/>
      <c r="H81" s="7"/>
      <c r="I81" s="29">
        <f t="shared" si="8"/>
        <v>0</v>
      </c>
    </row>
    <row r="82" spans="1:9" ht="94.5" x14ac:dyDescent="0.45">
      <c r="A82" s="40" t="s">
        <v>114</v>
      </c>
      <c r="B82" s="39" t="s">
        <v>42</v>
      </c>
      <c r="C82" s="41"/>
      <c r="D82" s="30"/>
      <c r="E82" s="30" t="s">
        <v>44</v>
      </c>
      <c r="F82" s="8"/>
      <c r="G82" s="8"/>
      <c r="H82" s="7"/>
      <c r="I82" s="29">
        <f t="shared" si="8"/>
        <v>0</v>
      </c>
    </row>
    <row r="83" spans="1:9" ht="94.5" x14ac:dyDescent="0.45">
      <c r="A83" s="40" t="s">
        <v>115</v>
      </c>
      <c r="B83" s="39" t="s">
        <v>42</v>
      </c>
      <c r="C83" s="41"/>
      <c r="D83" s="30"/>
      <c r="E83" s="30" t="s">
        <v>44</v>
      </c>
      <c r="F83" s="8"/>
      <c r="G83" s="8"/>
      <c r="H83" s="7"/>
      <c r="I83" s="29">
        <f t="shared" si="8"/>
        <v>0</v>
      </c>
    </row>
    <row r="84" spans="1:9" ht="94.5" x14ac:dyDescent="0.45">
      <c r="A84" s="40" t="s">
        <v>116</v>
      </c>
      <c r="B84" s="39" t="s">
        <v>42</v>
      </c>
      <c r="C84" s="41"/>
      <c r="D84" s="30"/>
      <c r="E84" s="30" t="s">
        <v>44</v>
      </c>
      <c r="F84" s="8"/>
      <c r="G84" s="8"/>
      <c r="H84" s="7"/>
      <c r="I84" s="29">
        <f t="shared" si="8"/>
        <v>0</v>
      </c>
    </row>
    <row r="85" spans="1:9" ht="94.5" x14ac:dyDescent="0.45">
      <c r="A85" s="40" t="s">
        <v>117</v>
      </c>
      <c r="B85" s="39" t="s">
        <v>42</v>
      </c>
      <c r="C85" s="41"/>
      <c r="D85" s="30"/>
      <c r="E85" s="30" t="s">
        <v>44</v>
      </c>
      <c r="F85" s="8"/>
      <c r="G85" s="8"/>
      <c r="H85" s="7"/>
      <c r="I85" s="29">
        <f t="shared" si="8"/>
        <v>0</v>
      </c>
    </row>
    <row r="86" spans="1:9" ht="94.5" x14ac:dyDescent="0.45">
      <c r="A86" s="40" t="s">
        <v>118</v>
      </c>
      <c r="B86" s="39" t="s">
        <v>42</v>
      </c>
      <c r="C86" s="41"/>
      <c r="D86" s="30"/>
      <c r="E86" s="30" t="s">
        <v>44</v>
      </c>
      <c r="F86" s="8"/>
      <c r="G86" s="8"/>
      <c r="H86" s="7"/>
      <c r="I86" s="29">
        <f t="shared" si="8"/>
        <v>0</v>
      </c>
    </row>
    <row r="87" spans="1:9" ht="94.5" x14ac:dyDescent="0.45">
      <c r="A87" s="40" t="s">
        <v>119</v>
      </c>
      <c r="B87" s="39" t="s">
        <v>42</v>
      </c>
      <c r="C87" s="41"/>
      <c r="D87" s="30"/>
      <c r="E87" s="30" t="s">
        <v>44</v>
      </c>
      <c r="F87" s="8"/>
      <c r="G87" s="8"/>
      <c r="H87" s="7"/>
      <c r="I87" s="29">
        <f t="shared" si="8"/>
        <v>0</v>
      </c>
    </row>
    <row r="88" spans="1:9" ht="94.5" x14ac:dyDescent="0.45">
      <c r="A88" s="40" t="s">
        <v>120</v>
      </c>
      <c r="B88" s="39" t="s">
        <v>42</v>
      </c>
      <c r="C88" s="41"/>
      <c r="D88" s="30"/>
      <c r="E88" s="30" t="s">
        <v>44</v>
      </c>
      <c r="F88" s="8"/>
      <c r="G88" s="8"/>
      <c r="H88" s="7"/>
      <c r="I88" s="29">
        <f t="shared" si="8"/>
        <v>0</v>
      </c>
    </row>
    <row r="89" spans="1:9" ht="94.5" x14ac:dyDescent="0.45">
      <c r="A89" s="40" t="s">
        <v>121</v>
      </c>
      <c r="B89" s="39" t="s">
        <v>42</v>
      </c>
      <c r="C89" s="41"/>
      <c r="D89" s="30"/>
      <c r="E89" s="30" t="s">
        <v>44</v>
      </c>
      <c r="F89" s="8"/>
      <c r="G89" s="8"/>
      <c r="H89" s="7"/>
      <c r="I89" s="29">
        <f t="shared" si="8"/>
        <v>0</v>
      </c>
    </row>
    <row r="90" spans="1:9" ht="94.5" x14ac:dyDescent="0.45">
      <c r="A90" s="40" t="s">
        <v>122</v>
      </c>
      <c r="B90" s="39" t="s">
        <v>42</v>
      </c>
      <c r="C90" s="41"/>
      <c r="D90" s="30"/>
      <c r="E90" s="30" t="s">
        <v>44</v>
      </c>
      <c r="F90" s="8"/>
      <c r="G90" s="8"/>
      <c r="H90" s="7"/>
      <c r="I90" s="29">
        <f t="shared" si="8"/>
        <v>0</v>
      </c>
    </row>
    <row r="91" spans="1:9" ht="94.5" x14ac:dyDescent="0.45">
      <c r="A91" s="40" t="s">
        <v>123</v>
      </c>
      <c r="B91" s="39" t="s">
        <v>42</v>
      </c>
      <c r="C91" s="41"/>
      <c r="D91" s="30"/>
      <c r="E91" s="30" t="s">
        <v>44</v>
      </c>
      <c r="F91" s="8"/>
      <c r="G91" s="8"/>
      <c r="H91" s="7"/>
      <c r="I91" s="29">
        <f t="shared" si="8"/>
        <v>0</v>
      </c>
    </row>
    <row r="92" spans="1:9" ht="94.5" x14ac:dyDescent="0.45">
      <c r="A92" s="40" t="s">
        <v>124</v>
      </c>
      <c r="B92" s="39" t="s">
        <v>42</v>
      </c>
      <c r="C92" s="41"/>
      <c r="D92" s="30"/>
      <c r="E92" s="30" t="s">
        <v>44</v>
      </c>
      <c r="F92" s="8"/>
      <c r="G92" s="8"/>
      <c r="H92" s="7"/>
      <c r="I92" s="29">
        <f t="shared" si="8"/>
        <v>0</v>
      </c>
    </row>
    <row r="93" spans="1:9" ht="94.5" x14ac:dyDescent="0.45">
      <c r="A93" s="40" t="s">
        <v>125</v>
      </c>
      <c r="B93" s="39" t="s">
        <v>42</v>
      </c>
      <c r="C93" s="41"/>
      <c r="D93" s="30"/>
      <c r="E93" s="30" t="s">
        <v>44</v>
      </c>
      <c r="F93" s="8"/>
      <c r="G93" s="8"/>
      <c r="H93" s="7"/>
      <c r="I93" s="29">
        <f t="shared" si="8"/>
        <v>0</v>
      </c>
    </row>
    <row r="94" spans="1:9" ht="94.5" x14ac:dyDescent="0.45">
      <c r="A94" s="40" t="s">
        <v>126</v>
      </c>
      <c r="B94" s="39" t="s">
        <v>42</v>
      </c>
      <c r="C94" s="41"/>
      <c r="D94" s="30"/>
      <c r="E94" s="30" t="s">
        <v>44</v>
      </c>
      <c r="F94" s="8"/>
      <c r="G94" s="8"/>
      <c r="H94" s="7"/>
      <c r="I94" s="29">
        <f t="shared" si="8"/>
        <v>0</v>
      </c>
    </row>
    <row r="95" spans="1:9" ht="94.5" x14ac:dyDescent="0.45">
      <c r="A95" s="40" t="s">
        <v>127</v>
      </c>
      <c r="B95" s="39" t="s">
        <v>42</v>
      </c>
      <c r="C95" s="41"/>
      <c r="D95" s="30"/>
      <c r="E95" s="30" t="s">
        <v>44</v>
      </c>
      <c r="F95" s="8"/>
      <c r="G95" s="8"/>
      <c r="H95" s="7"/>
      <c r="I95" s="29">
        <f t="shared" si="8"/>
        <v>0</v>
      </c>
    </row>
    <row r="96" spans="1:9" ht="94.5" x14ac:dyDescent="0.45">
      <c r="A96" s="40" t="s">
        <v>128</v>
      </c>
      <c r="B96" s="39" t="s">
        <v>42</v>
      </c>
      <c r="C96" s="41"/>
      <c r="D96" s="30"/>
      <c r="E96" s="30" t="s">
        <v>44</v>
      </c>
      <c r="F96" s="8"/>
      <c r="G96" s="8"/>
      <c r="H96" s="7"/>
      <c r="I96" s="29">
        <f t="shared" si="8"/>
        <v>0</v>
      </c>
    </row>
    <row r="97" spans="1:9" ht="94.5" x14ac:dyDescent="0.45">
      <c r="A97" s="40" t="s">
        <v>129</v>
      </c>
      <c r="B97" s="39" t="s">
        <v>42</v>
      </c>
      <c r="C97" s="41"/>
      <c r="D97" s="30"/>
      <c r="E97" s="30" t="s">
        <v>44</v>
      </c>
      <c r="F97" s="8"/>
      <c r="G97" s="8"/>
      <c r="H97" s="7"/>
      <c r="I97" s="29">
        <f t="shared" ref="I97:I160" si="9">F97*H97</f>
        <v>0</v>
      </c>
    </row>
    <row r="98" spans="1:9" ht="94.5" x14ac:dyDescent="0.45">
      <c r="A98" s="40" t="s">
        <v>130</v>
      </c>
      <c r="B98" s="39" t="s">
        <v>42</v>
      </c>
      <c r="C98" s="41"/>
      <c r="D98" s="30"/>
      <c r="E98" s="30" t="s">
        <v>44</v>
      </c>
      <c r="F98" s="8"/>
      <c r="G98" s="8"/>
      <c r="H98" s="7"/>
      <c r="I98" s="29">
        <f t="shared" si="9"/>
        <v>0</v>
      </c>
    </row>
    <row r="99" spans="1:9" ht="94.5" x14ac:dyDescent="0.45">
      <c r="A99" s="40" t="s">
        <v>131</v>
      </c>
      <c r="B99" s="39" t="s">
        <v>42</v>
      </c>
      <c r="C99" s="41"/>
      <c r="D99" s="30"/>
      <c r="E99" s="30" t="s">
        <v>44</v>
      </c>
      <c r="F99" s="8"/>
      <c r="G99" s="8"/>
      <c r="H99" s="7"/>
      <c r="I99" s="29">
        <f t="shared" si="9"/>
        <v>0</v>
      </c>
    </row>
    <row r="100" spans="1:9" ht="94.5" x14ac:dyDescent="0.45">
      <c r="A100" s="40" t="s">
        <v>132</v>
      </c>
      <c r="B100" s="39" t="s">
        <v>42</v>
      </c>
      <c r="C100" s="41"/>
      <c r="D100" s="30"/>
      <c r="E100" s="30" t="s">
        <v>44</v>
      </c>
      <c r="F100" s="8"/>
      <c r="G100" s="8"/>
      <c r="H100" s="7"/>
      <c r="I100" s="29">
        <f t="shared" si="9"/>
        <v>0</v>
      </c>
    </row>
    <row r="101" spans="1:9" ht="94.5" x14ac:dyDescent="0.45">
      <c r="A101" s="40" t="s">
        <v>133</v>
      </c>
      <c r="B101" s="39" t="s">
        <v>42</v>
      </c>
      <c r="C101" s="41"/>
      <c r="D101" s="30"/>
      <c r="E101" s="30" t="s">
        <v>44</v>
      </c>
      <c r="F101" s="8"/>
      <c r="G101" s="8"/>
      <c r="H101" s="7"/>
      <c r="I101" s="29">
        <f t="shared" si="9"/>
        <v>0</v>
      </c>
    </row>
    <row r="102" spans="1:9" ht="94.5" x14ac:dyDescent="0.45">
      <c r="A102" s="40" t="s">
        <v>134</v>
      </c>
      <c r="B102" s="39" t="s">
        <v>42</v>
      </c>
      <c r="C102" s="41"/>
      <c r="D102" s="30"/>
      <c r="E102" s="30" t="s">
        <v>44</v>
      </c>
      <c r="F102" s="8"/>
      <c r="G102" s="8"/>
      <c r="H102" s="7"/>
      <c r="I102" s="29">
        <f t="shared" si="9"/>
        <v>0</v>
      </c>
    </row>
    <row r="103" spans="1:9" ht="94.5" x14ac:dyDescent="0.45">
      <c r="A103" s="40" t="s">
        <v>135</v>
      </c>
      <c r="B103" s="39" t="s">
        <v>42</v>
      </c>
      <c r="C103" s="41"/>
      <c r="D103" s="30"/>
      <c r="E103" s="30" t="s">
        <v>44</v>
      </c>
      <c r="F103" s="8"/>
      <c r="G103" s="8"/>
      <c r="H103" s="7"/>
      <c r="I103" s="29">
        <f t="shared" si="9"/>
        <v>0</v>
      </c>
    </row>
    <row r="104" spans="1:9" ht="94.5" x14ac:dyDescent="0.45">
      <c r="A104" s="40" t="s">
        <v>136</v>
      </c>
      <c r="B104" s="39" t="s">
        <v>42</v>
      </c>
      <c r="C104" s="41"/>
      <c r="D104" s="30"/>
      <c r="E104" s="30" t="s">
        <v>44</v>
      </c>
      <c r="F104" s="8"/>
      <c r="G104" s="8"/>
      <c r="H104" s="7"/>
      <c r="I104" s="29">
        <f t="shared" si="9"/>
        <v>0</v>
      </c>
    </row>
    <row r="105" spans="1:9" ht="94.5" x14ac:dyDescent="0.45">
      <c r="A105" s="40" t="s">
        <v>137</v>
      </c>
      <c r="B105" s="39" t="s">
        <v>42</v>
      </c>
      <c r="C105" s="41"/>
      <c r="D105" s="30"/>
      <c r="E105" s="30" t="s">
        <v>44</v>
      </c>
      <c r="F105" s="8"/>
      <c r="G105" s="8"/>
      <c r="H105" s="7"/>
      <c r="I105" s="29">
        <f t="shared" si="9"/>
        <v>0</v>
      </c>
    </row>
    <row r="106" spans="1:9" ht="94.5" x14ac:dyDescent="0.45">
      <c r="A106" s="40" t="s">
        <v>138</v>
      </c>
      <c r="B106" s="39" t="s">
        <v>42</v>
      </c>
      <c r="C106" s="41"/>
      <c r="D106" s="30"/>
      <c r="E106" s="30" t="s">
        <v>44</v>
      </c>
      <c r="F106" s="8"/>
      <c r="G106" s="8"/>
      <c r="H106" s="7"/>
      <c r="I106" s="29">
        <f t="shared" si="9"/>
        <v>0</v>
      </c>
    </row>
    <row r="107" spans="1:9" ht="94.5" x14ac:dyDescent="0.45">
      <c r="A107" s="40" t="s">
        <v>139</v>
      </c>
      <c r="B107" s="39" t="s">
        <v>42</v>
      </c>
      <c r="C107" s="41"/>
      <c r="D107" s="30"/>
      <c r="E107" s="30" t="s">
        <v>44</v>
      </c>
      <c r="F107" s="8"/>
      <c r="G107" s="8"/>
      <c r="H107" s="7"/>
      <c r="I107" s="29">
        <f t="shared" si="9"/>
        <v>0</v>
      </c>
    </row>
    <row r="108" spans="1:9" ht="94.5" x14ac:dyDescent="0.45">
      <c r="A108" s="40" t="s">
        <v>140</v>
      </c>
      <c r="B108" s="39" t="s">
        <v>42</v>
      </c>
      <c r="C108" s="41"/>
      <c r="D108" s="30"/>
      <c r="E108" s="30" t="s">
        <v>44</v>
      </c>
      <c r="F108" s="8"/>
      <c r="G108" s="8"/>
      <c r="H108" s="7"/>
      <c r="I108" s="29">
        <f t="shared" si="9"/>
        <v>0</v>
      </c>
    </row>
    <row r="109" spans="1:9" ht="94.5" x14ac:dyDescent="0.45">
      <c r="A109" s="40" t="s">
        <v>141</v>
      </c>
      <c r="B109" s="39" t="s">
        <v>42</v>
      </c>
      <c r="C109" s="41"/>
      <c r="D109" s="30"/>
      <c r="E109" s="30" t="s">
        <v>44</v>
      </c>
      <c r="F109" s="8"/>
      <c r="G109" s="8"/>
      <c r="H109" s="7"/>
      <c r="I109" s="29">
        <f t="shared" si="9"/>
        <v>0</v>
      </c>
    </row>
    <row r="110" spans="1:9" ht="94.5" x14ac:dyDescent="0.45">
      <c r="A110" s="40" t="s">
        <v>142</v>
      </c>
      <c r="B110" s="39" t="s">
        <v>42</v>
      </c>
      <c r="C110" s="41"/>
      <c r="D110" s="30"/>
      <c r="E110" s="30" t="s">
        <v>44</v>
      </c>
      <c r="F110" s="8"/>
      <c r="G110" s="8"/>
      <c r="H110" s="7"/>
      <c r="I110" s="29">
        <f t="shared" si="9"/>
        <v>0</v>
      </c>
    </row>
    <row r="111" spans="1:9" ht="94.5" x14ac:dyDescent="0.45">
      <c r="A111" s="40" t="s">
        <v>143</v>
      </c>
      <c r="B111" s="39" t="s">
        <v>42</v>
      </c>
      <c r="C111" s="41"/>
      <c r="D111" s="30"/>
      <c r="E111" s="30" t="s">
        <v>44</v>
      </c>
      <c r="F111" s="8"/>
      <c r="G111" s="8"/>
      <c r="H111" s="7"/>
      <c r="I111" s="29">
        <f t="shared" si="9"/>
        <v>0</v>
      </c>
    </row>
    <row r="112" spans="1:9" ht="94.5" x14ac:dyDescent="0.45">
      <c r="A112" s="40" t="s">
        <v>146</v>
      </c>
      <c r="B112" s="39" t="s">
        <v>42</v>
      </c>
      <c r="C112" s="41"/>
      <c r="D112" s="30"/>
      <c r="E112" s="30" t="s">
        <v>44</v>
      </c>
      <c r="F112" s="8"/>
      <c r="G112" s="8"/>
      <c r="H112" s="7"/>
      <c r="I112" s="29">
        <f t="shared" si="9"/>
        <v>0</v>
      </c>
    </row>
    <row r="113" spans="1:9" ht="94.5" x14ac:dyDescent="0.45">
      <c r="A113" s="40" t="s">
        <v>147</v>
      </c>
      <c r="B113" s="39" t="s">
        <v>42</v>
      </c>
      <c r="C113" s="41"/>
      <c r="D113" s="30"/>
      <c r="E113" s="30" t="s">
        <v>44</v>
      </c>
      <c r="F113" s="8"/>
      <c r="G113" s="8"/>
      <c r="H113" s="7"/>
      <c r="I113" s="29">
        <f t="shared" si="9"/>
        <v>0</v>
      </c>
    </row>
    <row r="114" spans="1:9" ht="94.5" x14ac:dyDescent="0.45">
      <c r="A114" s="40" t="s">
        <v>148</v>
      </c>
      <c r="B114" s="39" t="s">
        <v>42</v>
      </c>
      <c r="C114" s="41"/>
      <c r="D114" s="30"/>
      <c r="E114" s="30" t="s">
        <v>44</v>
      </c>
      <c r="F114" s="8"/>
      <c r="G114" s="8"/>
      <c r="H114" s="7"/>
      <c r="I114" s="29">
        <f t="shared" si="9"/>
        <v>0</v>
      </c>
    </row>
    <row r="115" spans="1:9" ht="94.5" x14ac:dyDescent="0.45">
      <c r="A115" s="40" t="s">
        <v>149</v>
      </c>
      <c r="B115" s="39" t="s">
        <v>42</v>
      </c>
      <c r="C115" s="41"/>
      <c r="D115" s="30"/>
      <c r="E115" s="30" t="s">
        <v>44</v>
      </c>
      <c r="F115" s="8"/>
      <c r="G115" s="8"/>
      <c r="H115" s="7"/>
      <c r="I115" s="29">
        <f t="shared" si="9"/>
        <v>0</v>
      </c>
    </row>
    <row r="116" spans="1:9" ht="94.5" x14ac:dyDescent="0.45">
      <c r="A116" s="40" t="s">
        <v>150</v>
      </c>
      <c r="B116" s="39" t="s">
        <v>42</v>
      </c>
      <c r="C116" s="41"/>
      <c r="D116" s="30"/>
      <c r="E116" s="30" t="s">
        <v>44</v>
      </c>
      <c r="F116" s="8"/>
      <c r="G116" s="8"/>
      <c r="H116" s="7"/>
      <c r="I116" s="29">
        <f t="shared" si="9"/>
        <v>0</v>
      </c>
    </row>
    <row r="117" spans="1:9" ht="94.5" x14ac:dyDescent="0.45">
      <c r="A117" s="40" t="s">
        <v>151</v>
      </c>
      <c r="B117" s="39" t="s">
        <v>42</v>
      </c>
      <c r="C117" s="41"/>
      <c r="D117" s="30"/>
      <c r="E117" s="30" t="s">
        <v>44</v>
      </c>
      <c r="F117" s="8"/>
      <c r="G117" s="8"/>
      <c r="H117" s="7"/>
      <c r="I117" s="29">
        <f t="shared" si="9"/>
        <v>0</v>
      </c>
    </row>
    <row r="118" spans="1:9" ht="94.5" x14ac:dyDescent="0.45">
      <c r="A118" s="40" t="s">
        <v>152</v>
      </c>
      <c r="B118" s="39" t="s">
        <v>42</v>
      </c>
      <c r="C118" s="41"/>
      <c r="D118" s="30"/>
      <c r="E118" s="30" t="s">
        <v>44</v>
      </c>
      <c r="F118" s="8"/>
      <c r="G118" s="8"/>
      <c r="H118" s="7"/>
      <c r="I118" s="29">
        <f t="shared" si="9"/>
        <v>0</v>
      </c>
    </row>
    <row r="119" spans="1:9" ht="94.5" x14ac:dyDescent="0.45">
      <c r="A119" s="40" t="s">
        <v>153</v>
      </c>
      <c r="B119" s="39" t="s">
        <v>42</v>
      </c>
      <c r="C119" s="41"/>
      <c r="D119" s="30"/>
      <c r="E119" s="30" t="s">
        <v>44</v>
      </c>
      <c r="F119" s="8"/>
      <c r="G119" s="8"/>
      <c r="H119" s="7"/>
      <c r="I119" s="29">
        <f t="shared" si="9"/>
        <v>0</v>
      </c>
    </row>
    <row r="120" spans="1:9" ht="94.5" x14ac:dyDescent="0.45">
      <c r="A120" s="40" t="s">
        <v>154</v>
      </c>
      <c r="B120" s="39" t="s">
        <v>42</v>
      </c>
      <c r="C120" s="41"/>
      <c r="D120" s="30"/>
      <c r="E120" s="30" t="s">
        <v>44</v>
      </c>
      <c r="F120" s="8"/>
      <c r="G120" s="8"/>
      <c r="H120" s="7"/>
      <c r="I120" s="29">
        <f t="shared" si="9"/>
        <v>0</v>
      </c>
    </row>
    <row r="121" spans="1:9" ht="94.5" x14ac:dyDescent="0.45">
      <c r="A121" s="40" t="s">
        <v>155</v>
      </c>
      <c r="B121" s="39" t="s">
        <v>42</v>
      </c>
      <c r="C121" s="41"/>
      <c r="D121" s="30"/>
      <c r="E121" s="30" t="s">
        <v>44</v>
      </c>
      <c r="F121" s="8"/>
      <c r="G121" s="8"/>
      <c r="H121" s="7"/>
      <c r="I121" s="29">
        <f t="shared" si="9"/>
        <v>0</v>
      </c>
    </row>
    <row r="122" spans="1:9" ht="94.5" x14ac:dyDescent="0.45">
      <c r="A122" s="40" t="s">
        <v>156</v>
      </c>
      <c r="B122" s="39" t="s">
        <v>42</v>
      </c>
      <c r="C122" s="41"/>
      <c r="D122" s="30"/>
      <c r="E122" s="30" t="s">
        <v>44</v>
      </c>
      <c r="F122" s="8"/>
      <c r="G122" s="8"/>
      <c r="H122" s="7"/>
      <c r="I122" s="29">
        <f t="shared" si="9"/>
        <v>0</v>
      </c>
    </row>
    <row r="123" spans="1:9" ht="94.5" x14ac:dyDescent="0.45">
      <c r="A123" s="40" t="s">
        <v>157</v>
      </c>
      <c r="B123" s="39" t="s">
        <v>42</v>
      </c>
      <c r="C123" s="41"/>
      <c r="D123" s="30"/>
      <c r="E123" s="30" t="s">
        <v>44</v>
      </c>
      <c r="F123" s="8"/>
      <c r="G123" s="8"/>
      <c r="H123" s="7"/>
      <c r="I123" s="29">
        <f t="shared" si="9"/>
        <v>0</v>
      </c>
    </row>
    <row r="124" spans="1:9" ht="94.5" x14ac:dyDescent="0.45">
      <c r="A124" s="40" t="s">
        <v>158</v>
      </c>
      <c r="B124" s="39" t="s">
        <v>42</v>
      </c>
      <c r="C124" s="41"/>
      <c r="D124" s="30"/>
      <c r="E124" s="30" t="s">
        <v>44</v>
      </c>
      <c r="F124" s="8"/>
      <c r="G124" s="8"/>
      <c r="H124" s="7"/>
      <c r="I124" s="29">
        <f t="shared" si="9"/>
        <v>0</v>
      </c>
    </row>
    <row r="125" spans="1:9" ht="94.5" x14ac:dyDescent="0.45">
      <c r="A125" s="40" t="s">
        <v>159</v>
      </c>
      <c r="B125" s="39" t="s">
        <v>42</v>
      </c>
      <c r="C125" s="41"/>
      <c r="D125" s="30"/>
      <c r="E125" s="30" t="s">
        <v>44</v>
      </c>
      <c r="F125" s="8"/>
      <c r="G125" s="8"/>
      <c r="H125" s="7"/>
      <c r="I125" s="29">
        <f t="shared" si="9"/>
        <v>0</v>
      </c>
    </row>
    <row r="126" spans="1:9" ht="94.5" x14ac:dyDescent="0.45">
      <c r="A126" s="40" t="s">
        <v>160</v>
      </c>
      <c r="B126" s="39" t="s">
        <v>42</v>
      </c>
      <c r="C126" s="41"/>
      <c r="D126" s="30"/>
      <c r="E126" s="30" t="s">
        <v>44</v>
      </c>
      <c r="F126" s="8"/>
      <c r="G126" s="8"/>
      <c r="H126" s="7"/>
      <c r="I126" s="29">
        <f t="shared" si="9"/>
        <v>0</v>
      </c>
    </row>
    <row r="127" spans="1:9" ht="94.5" x14ac:dyDescent="0.45">
      <c r="A127" s="40" t="s">
        <v>161</v>
      </c>
      <c r="B127" s="39" t="s">
        <v>42</v>
      </c>
      <c r="C127" s="41"/>
      <c r="D127" s="30"/>
      <c r="E127" s="30" t="s">
        <v>44</v>
      </c>
      <c r="F127" s="8"/>
      <c r="G127" s="8"/>
      <c r="H127" s="7"/>
      <c r="I127" s="29">
        <f t="shared" si="9"/>
        <v>0</v>
      </c>
    </row>
    <row r="128" spans="1:9" ht="94.5" x14ac:dyDescent="0.45">
      <c r="A128" s="40" t="s">
        <v>162</v>
      </c>
      <c r="B128" s="39" t="s">
        <v>42</v>
      </c>
      <c r="C128" s="41"/>
      <c r="D128" s="30"/>
      <c r="E128" s="30" t="s">
        <v>44</v>
      </c>
      <c r="F128" s="8"/>
      <c r="G128" s="8"/>
      <c r="H128" s="7"/>
      <c r="I128" s="29">
        <f t="shared" si="9"/>
        <v>0</v>
      </c>
    </row>
    <row r="129" spans="1:9" ht="94.5" x14ac:dyDescent="0.45">
      <c r="A129" s="40" t="s">
        <v>163</v>
      </c>
      <c r="B129" s="39" t="s">
        <v>42</v>
      </c>
      <c r="C129" s="41"/>
      <c r="D129" s="30"/>
      <c r="E129" s="30" t="s">
        <v>44</v>
      </c>
      <c r="F129" s="8"/>
      <c r="G129" s="8"/>
      <c r="H129" s="7"/>
      <c r="I129" s="29">
        <f t="shared" si="9"/>
        <v>0</v>
      </c>
    </row>
    <row r="130" spans="1:9" ht="94.5" x14ac:dyDescent="0.45">
      <c r="A130" s="40" t="s">
        <v>164</v>
      </c>
      <c r="B130" s="39" t="s">
        <v>42</v>
      </c>
      <c r="C130" s="41"/>
      <c r="D130" s="30"/>
      <c r="E130" s="30" t="s">
        <v>44</v>
      </c>
      <c r="F130" s="8"/>
      <c r="G130" s="8"/>
      <c r="H130" s="7"/>
      <c r="I130" s="29">
        <f t="shared" si="9"/>
        <v>0</v>
      </c>
    </row>
    <row r="131" spans="1:9" ht="94.5" x14ac:dyDescent="0.45">
      <c r="A131" s="40" t="s">
        <v>165</v>
      </c>
      <c r="B131" s="39" t="s">
        <v>42</v>
      </c>
      <c r="C131" s="41"/>
      <c r="D131" s="30"/>
      <c r="E131" s="30" t="s">
        <v>44</v>
      </c>
      <c r="F131" s="8"/>
      <c r="G131" s="8"/>
      <c r="H131" s="7"/>
      <c r="I131" s="29">
        <f t="shared" si="9"/>
        <v>0</v>
      </c>
    </row>
    <row r="132" spans="1:9" ht="94.5" x14ac:dyDescent="0.45">
      <c r="A132" s="40" t="s">
        <v>166</v>
      </c>
      <c r="B132" s="39" t="s">
        <v>42</v>
      </c>
      <c r="C132" s="41"/>
      <c r="D132" s="30"/>
      <c r="E132" s="30" t="s">
        <v>44</v>
      </c>
      <c r="F132" s="8"/>
      <c r="G132" s="8"/>
      <c r="H132" s="7"/>
      <c r="I132" s="29">
        <f t="shared" si="9"/>
        <v>0</v>
      </c>
    </row>
    <row r="133" spans="1:9" ht="94.5" x14ac:dyDescent="0.45">
      <c r="A133" s="40" t="s">
        <v>167</v>
      </c>
      <c r="B133" s="39" t="s">
        <v>42</v>
      </c>
      <c r="C133" s="41"/>
      <c r="D133" s="30"/>
      <c r="E133" s="30" t="s">
        <v>44</v>
      </c>
      <c r="F133" s="8"/>
      <c r="G133" s="8"/>
      <c r="H133" s="7"/>
      <c r="I133" s="29">
        <f t="shared" si="9"/>
        <v>0</v>
      </c>
    </row>
    <row r="134" spans="1:9" ht="94.5" x14ac:dyDescent="0.45">
      <c r="A134" s="40" t="s">
        <v>168</v>
      </c>
      <c r="B134" s="39" t="s">
        <v>42</v>
      </c>
      <c r="C134" s="41"/>
      <c r="D134" s="30"/>
      <c r="E134" s="30" t="s">
        <v>44</v>
      </c>
      <c r="F134" s="8"/>
      <c r="G134" s="8"/>
      <c r="H134" s="7"/>
      <c r="I134" s="29">
        <f t="shared" si="9"/>
        <v>0</v>
      </c>
    </row>
    <row r="135" spans="1:9" ht="94.5" x14ac:dyDescent="0.45">
      <c r="A135" s="40" t="s">
        <v>169</v>
      </c>
      <c r="B135" s="39" t="s">
        <v>42</v>
      </c>
      <c r="C135" s="41"/>
      <c r="D135" s="30"/>
      <c r="E135" s="30" t="s">
        <v>44</v>
      </c>
      <c r="F135" s="8"/>
      <c r="G135" s="8"/>
      <c r="H135" s="7"/>
      <c r="I135" s="29">
        <f t="shared" si="9"/>
        <v>0</v>
      </c>
    </row>
    <row r="136" spans="1:9" ht="94.5" x14ac:dyDescent="0.45">
      <c r="A136" s="40" t="s">
        <v>170</v>
      </c>
      <c r="B136" s="39" t="s">
        <v>42</v>
      </c>
      <c r="C136" s="41"/>
      <c r="D136" s="30"/>
      <c r="E136" s="30" t="s">
        <v>44</v>
      </c>
      <c r="F136" s="8"/>
      <c r="G136" s="8"/>
      <c r="H136" s="7"/>
      <c r="I136" s="29">
        <f t="shared" si="9"/>
        <v>0</v>
      </c>
    </row>
    <row r="137" spans="1:9" ht="94.5" x14ac:dyDescent="0.45">
      <c r="A137" s="40" t="s">
        <v>171</v>
      </c>
      <c r="B137" s="39" t="s">
        <v>42</v>
      </c>
      <c r="C137" s="41"/>
      <c r="D137" s="30"/>
      <c r="E137" s="30" t="s">
        <v>44</v>
      </c>
      <c r="F137" s="8"/>
      <c r="G137" s="8"/>
      <c r="H137" s="7"/>
      <c r="I137" s="29">
        <f t="shared" si="9"/>
        <v>0</v>
      </c>
    </row>
    <row r="138" spans="1:9" ht="94.5" x14ac:dyDescent="0.45">
      <c r="A138" s="40" t="s">
        <v>172</v>
      </c>
      <c r="B138" s="39" t="s">
        <v>42</v>
      </c>
      <c r="C138" s="41"/>
      <c r="D138" s="30"/>
      <c r="E138" s="30" t="s">
        <v>44</v>
      </c>
      <c r="F138" s="8"/>
      <c r="G138" s="8"/>
      <c r="H138" s="7"/>
      <c r="I138" s="29">
        <f t="shared" si="9"/>
        <v>0</v>
      </c>
    </row>
    <row r="139" spans="1:9" ht="94.5" x14ac:dyDescent="0.45">
      <c r="A139" s="40" t="s">
        <v>173</v>
      </c>
      <c r="B139" s="39" t="s">
        <v>42</v>
      </c>
      <c r="C139" s="41"/>
      <c r="D139" s="30"/>
      <c r="E139" s="30" t="s">
        <v>44</v>
      </c>
      <c r="F139" s="8"/>
      <c r="G139" s="8"/>
      <c r="H139" s="7"/>
      <c r="I139" s="29">
        <f t="shared" si="9"/>
        <v>0</v>
      </c>
    </row>
    <row r="140" spans="1:9" ht="94.5" x14ac:dyDescent="0.45">
      <c r="A140" s="40" t="s">
        <v>174</v>
      </c>
      <c r="B140" s="39" t="s">
        <v>42</v>
      </c>
      <c r="C140" s="41"/>
      <c r="D140" s="30"/>
      <c r="E140" s="30" t="s">
        <v>44</v>
      </c>
      <c r="F140" s="8"/>
      <c r="G140" s="8"/>
      <c r="H140" s="7"/>
      <c r="I140" s="29">
        <f t="shared" si="9"/>
        <v>0</v>
      </c>
    </row>
    <row r="141" spans="1:9" ht="94.5" x14ac:dyDescent="0.45">
      <c r="A141" s="40" t="s">
        <v>175</v>
      </c>
      <c r="B141" s="39" t="s">
        <v>42</v>
      </c>
      <c r="C141" s="41"/>
      <c r="D141" s="30"/>
      <c r="E141" s="30" t="s">
        <v>44</v>
      </c>
      <c r="F141" s="8"/>
      <c r="G141" s="8"/>
      <c r="H141" s="7"/>
      <c r="I141" s="29">
        <f t="shared" si="9"/>
        <v>0</v>
      </c>
    </row>
    <row r="142" spans="1:9" ht="94.5" x14ac:dyDescent="0.45">
      <c r="A142" s="40" t="s">
        <v>176</v>
      </c>
      <c r="B142" s="39" t="s">
        <v>42</v>
      </c>
      <c r="C142" s="41"/>
      <c r="D142" s="30"/>
      <c r="E142" s="30" t="s">
        <v>44</v>
      </c>
      <c r="F142" s="8"/>
      <c r="G142" s="8"/>
      <c r="H142" s="7"/>
      <c r="I142" s="29">
        <f t="shared" si="9"/>
        <v>0</v>
      </c>
    </row>
    <row r="143" spans="1:9" ht="94.5" x14ac:dyDescent="0.45">
      <c r="A143" s="40" t="s">
        <v>177</v>
      </c>
      <c r="B143" s="39" t="s">
        <v>42</v>
      </c>
      <c r="C143" s="41"/>
      <c r="D143" s="30"/>
      <c r="E143" s="30" t="s">
        <v>44</v>
      </c>
      <c r="F143" s="8"/>
      <c r="G143" s="8"/>
      <c r="H143" s="7"/>
      <c r="I143" s="29">
        <f t="shared" si="9"/>
        <v>0</v>
      </c>
    </row>
    <row r="144" spans="1:9" ht="94.5" x14ac:dyDescent="0.45">
      <c r="A144" s="40" t="s">
        <v>178</v>
      </c>
      <c r="B144" s="39" t="s">
        <v>42</v>
      </c>
      <c r="C144" s="41"/>
      <c r="D144" s="30"/>
      <c r="E144" s="30" t="s">
        <v>44</v>
      </c>
      <c r="F144" s="8"/>
      <c r="G144" s="8"/>
      <c r="H144" s="7"/>
      <c r="I144" s="29">
        <f t="shared" si="9"/>
        <v>0</v>
      </c>
    </row>
    <row r="145" spans="1:9" ht="94.5" x14ac:dyDescent="0.45">
      <c r="A145" s="40" t="s">
        <v>179</v>
      </c>
      <c r="B145" s="39" t="s">
        <v>42</v>
      </c>
      <c r="C145" s="41"/>
      <c r="D145" s="30"/>
      <c r="E145" s="30" t="s">
        <v>44</v>
      </c>
      <c r="F145" s="8"/>
      <c r="G145" s="8"/>
      <c r="H145" s="7"/>
      <c r="I145" s="29">
        <f t="shared" si="9"/>
        <v>0</v>
      </c>
    </row>
    <row r="146" spans="1:9" ht="94.5" x14ac:dyDescent="0.45">
      <c r="A146" s="40" t="s">
        <v>180</v>
      </c>
      <c r="B146" s="39" t="s">
        <v>42</v>
      </c>
      <c r="C146" s="41"/>
      <c r="D146" s="30"/>
      <c r="E146" s="30" t="s">
        <v>44</v>
      </c>
      <c r="F146" s="8"/>
      <c r="G146" s="8"/>
      <c r="H146" s="7"/>
      <c r="I146" s="29">
        <f t="shared" si="9"/>
        <v>0</v>
      </c>
    </row>
    <row r="147" spans="1:9" ht="94.5" x14ac:dyDescent="0.45">
      <c r="A147" s="40" t="s">
        <v>181</v>
      </c>
      <c r="B147" s="39" t="s">
        <v>42</v>
      </c>
      <c r="C147" s="41"/>
      <c r="D147" s="30"/>
      <c r="E147" s="30" t="s">
        <v>44</v>
      </c>
      <c r="F147" s="8"/>
      <c r="G147" s="8"/>
      <c r="H147" s="7"/>
      <c r="I147" s="29">
        <f t="shared" si="9"/>
        <v>0</v>
      </c>
    </row>
    <row r="148" spans="1:9" ht="94.5" x14ac:dyDescent="0.45">
      <c r="A148" s="40" t="s">
        <v>182</v>
      </c>
      <c r="B148" s="39" t="s">
        <v>42</v>
      </c>
      <c r="C148" s="41"/>
      <c r="D148" s="30"/>
      <c r="E148" s="30" t="s">
        <v>44</v>
      </c>
      <c r="F148" s="8"/>
      <c r="G148" s="8"/>
      <c r="H148" s="7"/>
      <c r="I148" s="29">
        <f t="shared" si="9"/>
        <v>0</v>
      </c>
    </row>
    <row r="149" spans="1:9" ht="94.5" x14ac:dyDescent="0.45">
      <c r="A149" s="40" t="s">
        <v>183</v>
      </c>
      <c r="B149" s="39" t="s">
        <v>42</v>
      </c>
      <c r="C149" s="41"/>
      <c r="D149" s="30"/>
      <c r="E149" s="30" t="s">
        <v>44</v>
      </c>
      <c r="F149" s="8"/>
      <c r="G149" s="8"/>
      <c r="H149" s="7"/>
      <c r="I149" s="29">
        <f t="shared" si="9"/>
        <v>0</v>
      </c>
    </row>
    <row r="150" spans="1:9" ht="94.5" x14ac:dyDescent="0.45">
      <c r="A150" s="40" t="s">
        <v>184</v>
      </c>
      <c r="B150" s="39" t="s">
        <v>42</v>
      </c>
      <c r="C150" s="41"/>
      <c r="D150" s="30"/>
      <c r="E150" s="30" t="s">
        <v>44</v>
      </c>
      <c r="F150" s="8"/>
      <c r="G150" s="8"/>
      <c r="H150" s="7"/>
      <c r="I150" s="29">
        <f t="shared" si="9"/>
        <v>0</v>
      </c>
    </row>
    <row r="151" spans="1:9" ht="94.5" x14ac:dyDescent="0.45">
      <c r="A151" s="40" t="s">
        <v>185</v>
      </c>
      <c r="B151" s="39" t="s">
        <v>42</v>
      </c>
      <c r="C151" s="41"/>
      <c r="D151" s="30"/>
      <c r="E151" s="30" t="s">
        <v>44</v>
      </c>
      <c r="F151" s="8"/>
      <c r="G151" s="8"/>
      <c r="H151" s="7"/>
      <c r="I151" s="29">
        <f t="shared" si="9"/>
        <v>0</v>
      </c>
    </row>
    <row r="152" spans="1:9" ht="94.5" x14ac:dyDescent="0.45">
      <c r="A152" s="40" t="s">
        <v>186</v>
      </c>
      <c r="B152" s="39" t="s">
        <v>42</v>
      </c>
      <c r="C152" s="41"/>
      <c r="D152" s="30"/>
      <c r="E152" s="30" t="s">
        <v>44</v>
      </c>
      <c r="F152" s="8"/>
      <c r="G152" s="8"/>
      <c r="H152" s="7"/>
      <c r="I152" s="29">
        <f t="shared" si="9"/>
        <v>0</v>
      </c>
    </row>
    <row r="153" spans="1:9" ht="94.5" x14ac:dyDescent="0.45">
      <c r="A153" s="40" t="s">
        <v>187</v>
      </c>
      <c r="B153" s="39" t="s">
        <v>42</v>
      </c>
      <c r="C153" s="41"/>
      <c r="D153" s="30"/>
      <c r="E153" s="30" t="s">
        <v>44</v>
      </c>
      <c r="F153" s="8"/>
      <c r="G153" s="8"/>
      <c r="H153" s="7"/>
      <c r="I153" s="29">
        <f t="shared" si="9"/>
        <v>0</v>
      </c>
    </row>
    <row r="154" spans="1:9" ht="94.5" x14ac:dyDescent="0.45">
      <c r="A154" s="40" t="s">
        <v>188</v>
      </c>
      <c r="B154" s="39" t="s">
        <v>42</v>
      </c>
      <c r="C154" s="41"/>
      <c r="D154" s="30"/>
      <c r="E154" s="30" t="s">
        <v>44</v>
      </c>
      <c r="F154" s="8"/>
      <c r="G154" s="8"/>
      <c r="H154" s="7"/>
      <c r="I154" s="29">
        <f t="shared" si="9"/>
        <v>0</v>
      </c>
    </row>
    <row r="155" spans="1:9" ht="94.5" x14ac:dyDescent="0.45">
      <c r="A155" s="40" t="s">
        <v>189</v>
      </c>
      <c r="B155" s="39" t="s">
        <v>42</v>
      </c>
      <c r="C155" s="41"/>
      <c r="D155" s="30"/>
      <c r="E155" s="30" t="s">
        <v>44</v>
      </c>
      <c r="F155" s="8"/>
      <c r="G155" s="8"/>
      <c r="H155" s="7"/>
      <c r="I155" s="29">
        <f t="shared" si="9"/>
        <v>0</v>
      </c>
    </row>
    <row r="156" spans="1:9" ht="94.5" x14ac:dyDescent="0.45">
      <c r="A156" s="40" t="s">
        <v>190</v>
      </c>
      <c r="B156" s="39" t="s">
        <v>42</v>
      </c>
      <c r="C156" s="41"/>
      <c r="D156" s="30"/>
      <c r="E156" s="30" t="s">
        <v>44</v>
      </c>
      <c r="F156" s="8"/>
      <c r="G156" s="8"/>
      <c r="H156" s="7"/>
      <c r="I156" s="29">
        <f t="shared" si="9"/>
        <v>0</v>
      </c>
    </row>
    <row r="157" spans="1:9" ht="94.5" x14ac:dyDescent="0.45">
      <c r="A157" s="40" t="s">
        <v>191</v>
      </c>
      <c r="B157" s="39" t="s">
        <v>42</v>
      </c>
      <c r="C157" s="41"/>
      <c r="D157" s="30"/>
      <c r="E157" s="30" t="s">
        <v>44</v>
      </c>
      <c r="F157" s="8"/>
      <c r="G157" s="8"/>
      <c r="H157" s="7"/>
      <c r="I157" s="29">
        <f t="shared" si="9"/>
        <v>0</v>
      </c>
    </row>
    <row r="158" spans="1:9" ht="94.5" x14ac:dyDescent="0.45">
      <c r="A158" s="40" t="s">
        <v>192</v>
      </c>
      <c r="B158" s="39" t="s">
        <v>42</v>
      </c>
      <c r="C158" s="41"/>
      <c r="D158" s="30"/>
      <c r="E158" s="30" t="s">
        <v>44</v>
      </c>
      <c r="F158" s="8"/>
      <c r="G158" s="8"/>
      <c r="H158" s="7"/>
      <c r="I158" s="29">
        <f t="shared" si="9"/>
        <v>0</v>
      </c>
    </row>
    <row r="159" spans="1:9" ht="94.5" x14ac:dyDescent="0.45">
      <c r="A159" s="40" t="s">
        <v>193</v>
      </c>
      <c r="B159" s="39" t="s">
        <v>42</v>
      </c>
      <c r="C159" s="41"/>
      <c r="D159" s="30"/>
      <c r="E159" s="30" t="s">
        <v>44</v>
      </c>
      <c r="F159" s="8"/>
      <c r="G159" s="8"/>
      <c r="H159" s="7"/>
      <c r="I159" s="29">
        <f t="shared" si="9"/>
        <v>0</v>
      </c>
    </row>
    <row r="160" spans="1:9" ht="94.5" x14ac:dyDescent="0.45">
      <c r="A160" s="40" t="s">
        <v>194</v>
      </c>
      <c r="B160" s="39" t="s">
        <v>42</v>
      </c>
      <c r="C160" s="41"/>
      <c r="D160" s="30"/>
      <c r="E160" s="30" t="s">
        <v>44</v>
      </c>
      <c r="F160" s="8"/>
      <c r="G160" s="8"/>
      <c r="H160" s="7"/>
      <c r="I160" s="29">
        <f t="shared" si="9"/>
        <v>0</v>
      </c>
    </row>
    <row r="161" spans="1:9" ht="94.5" x14ac:dyDescent="0.45">
      <c r="A161" s="40" t="s">
        <v>195</v>
      </c>
      <c r="B161" s="39" t="s">
        <v>42</v>
      </c>
      <c r="C161" s="41"/>
      <c r="D161" s="30"/>
      <c r="E161" s="30" t="s">
        <v>44</v>
      </c>
      <c r="F161" s="8"/>
      <c r="G161" s="8"/>
      <c r="H161" s="7"/>
      <c r="I161" s="29">
        <f t="shared" ref="I161:I224" si="10">F161*H161</f>
        <v>0</v>
      </c>
    </row>
    <row r="162" spans="1:9" ht="94.5" x14ac:dyDescent="0.45">
      <c r="A162" s="40" t="s">
        <v>196</v>
      </c>
      <c r="B162" s="39" t="s">
        <v>42</v>
      </c>
      <c r="C162" s="41"/>
      <c r="D162" s="30"/>
      <c r="E162" s="30" t="s">
        <v>44</v>
      </c>
      <c r="F162" s="8"/>
      <c r="G162" s="8"/>
      <c r="H162" s="7"/>
      <c r="I162" s="29">
        <f t="shared" si="10"/>
        <v>0</v>
      </c>
    </row>
    <row r="163" spans="1:9" ht="94.5" x14ac:dyDescent="0.45">
      <c r="A163" s="40" t="s">
        <v>197</v>
      </c>
      <c r="B163" s="39" t="s">
        <v>42</v>
      </c>
      <c r="C163" s="41"/>
      <c r="D163" s="30"/>
      <c r="E163" s="30" t="s">
        <v>44</v>
      </c>
      <c r="F163" s="8"/>
      <c r="G163" s="8"/>
      <c r="H163" s="7"/>
      <c r="I163" s="29">
        <f t="shared" si="10"/>
        <v>0</v>
      </c>
    </row>
    <row r="164" spans="1:9" ht="94.5" x14ac:dyDescent="0.45">
      <c r="A164" s="40" t="s">
        <v>198</v>
      </c>
      <c r="B164" s="39" t="s">
        <v>42</v>
      </c>
      <c r="C164" s="41"/>
      <c r="D164" s="30"/>
      <c r="E164" s="30" t="s">
        <v>44</v>
      </c>
      <c r="F164" s="8"/>
      <c r="G164" s="8"/>
      <c r="H164" s="7"/>
      <c r="I164" s="29">
        <f t="shared" si="10"/>
        <v>0</v>
      </c>
    </row>
    <row r="165" spans="1:9" ht="94.5" x14ac:dyDescent="0.45">
      <c r="A165" s="40" t="s">
        <v>199</v>
      </c>
      <c r="B165" s="39" t="s">
        <v>42</v>
      </c>
      <c r="C165" s="41"/>
      <c r="D165" s="30"/>
      <c r="E165" s="30" t="s">
        <v>44</v>
      </c>
      <c r="F165" s="8"/>
      <c r="G165" s="8"/>
      <c r="H165" s="7"/>
      <c r="I165" s="29">
        <f t="shared" si="10"/>
        <v>0</v>
      </c>
    </row>
    <row r="166" spans="1:9" ht="94.5" x14ac:dyDescent="0.45">
      <c r="A166" s="40" t="s">
        <v>200</v>
      </c>
      <c r="B166" s="39" t="s">
        <v>42</v>
      </c>
      <c r="C166" s="41"/>
      <c r="D166" s="30"/>
      <c r="E166" s="30" t="s">
        <v>44</v>
      </c>
      <c r="F166" s="8"/>
      <c r="G166" s="8"/>
      <c r="H166" s="7"/>
      <c r="I166" s="29">
        <f t="shared" si="10"/>
        <v>0</v>
      </c>
    </row>
    <row r="167" spans="1:9" ht="94.5" x14ac:dyDescent="0.45">
      <c r="A167" s="40" t="s">
        <v>201</v>
      </c>
      <c r="B167" s="39" t="s">
        <v>42</v>
      </c>
      <c r="C167" s="41"/>
      <c r="D167" s="30"/>
      <c r="E167" s="30" t="s">
        <v>44</v>
      </c>
      <c r="F167" s="8"/>
      <c r="G167" s="8"/>
      <c r="H167" s="7"/>
      <c r="I167" s="29">
        <f t="shared" si="10"/>
        <v>0</v>
      </c>
    </row>
    <row r="168" spans="1:9" ht="94.5" x14ac:dyDescent="0.45">
      <c r="A168" s="40" t="s">
        <v>202</v>
      </c>
      <c r="B168" s="39" t="s">
        <v>42</v>
      </c>
      <c r="C168" s="41"/>
      <c r="D168" s="30"/>
      <c r="E168" s="30" t="s">
        <v>44</v>
      </c>
      <c r="F168" s="8"/>
      <c r="G168" s="8"/>
      <c r="H168" s="7"/>
      <c r="I168" s="29">
        <f t="shared" si="10"/>
        <v>0</v>
      </c>
    </row>
    <row r="169" spans="1:9" ht="94.5" x14ac:dyDescent="0.45">
      <c r="A169" s="40" t="s">
        <v>203</v>
      </c>
      <c r="B169" s="39" t="s">
        <v>42</v>
      </c>
      <c r="C169" s="41"/>
      <c r="D169" s="30"/>
      <c r="E169" s="30" t="s">
        <v>44</v>
      </c>
      <c r="F169" s="8"/>
      <c r="G169" s="8"/>
      <c r="H169" s="7"/>
      <c r="I169" s="29">
        <f t="shared" si="10"/>
        <v>0</v>
      </c>
    </row>
    <row r="170" spans="1:9" ht="94.5" x14ac:dyDescent="0.45">
      <c r="A170" s="40" t="s">
        <v>204</v>
      </c>
      <c r="B170" s="39" t="s">
        <v>42</v>
      </c>
      <c r="C170" s="41"/>
      <c r="D170" s="30"/>
      <c r="E170" s="30" t="s">
        <v>44</v>
      </c>
      <c r="F170" s="8"/>
      <c r="G170" s="8"/>
      <c r="H170" s="7"/>
      <c r="I170" s="29">
        <f t="shared" si="10"/>
        <v>0</v>
      </c>
    </row>
    <row r="171" spans="1:9" ht="94.5" x14ac:dyDescent="0.45">
      <c r="A171" s="40" t="s">
        <v>205</v>
      </c>
      <c r="B171" s="39" t="s">
        <v>42</v>
      </c>
      <c r="C171" s="41"/>
      <c r="D171" s="30"/>
      <c r="E171" s="30" t="s">
        <v>44</v>
      </c>
      <c r="F171" s="8"/>
      <c r="G171" s="8"/>
      <c r="H171" s="7"/>
      <c r="I171" s="29">
        <f t="shared" si="10"/>
        <v>0</v>
      </c>
    </row>
    <row r="172" spans="1:9" ht="94.5" x14ac:dyDescent="0.45">
      <c r="A172" s="40" t="s">
        <v>206</v>
      </c>
      <c r="B172" s="39" t="s">
        <v>42</v>
      </c>
      <c r="C172" s="41"/>
      <c r="D172" s="30"/>
      <c r="E172" s="30" t="s">
        <v>44</v>
      </c>
      <c r="F172" s="8"/>
      <c r="G172" s="8"/>
      <c r="H172" s="7"/>
      <c r="I172" s="29">
        <f t="shared" si="10"/>
        <v>0</v>
      </c>
    </row>
    <row r="173" spans="1:9" ht="94.5" x14ac:dyDescent="0.45">
      <c r="A173" s="40" t="s">
        <v>207</v>
      </c>
      <c r="B173" s="39" t="s">
        <v>42</v>
      </c>
      <c r="C173" s="41"/>
      <c r="D173" s="30"/>
      <c r="E173" s="30" t="s">
        <v>44</v>
      </c>
      <c r="F173" s="8"/>
      <c r="G173" s="8"/>
      <c r="H173" s="7"/>
      <c r="I173" s="29">
        <f t="shared" si="10"/>
        <v>0</v>
      </c>
    </row>
    <row r="174" spans="1:9" ht="94.5" x14ac:dyDescent="0.45">
      <c r="A174" s="40" t="s">
        <v>208</v>
      </c>
      <c r="B174" s="39" t="s">
        <v>42</v>
      </c>
      <c r="C174" s="41"/>
      <c r="D174" s="30"/>
      <c r="E174" s="30" t="s">
        <v>44</v>
      </c>
      <c r="F174" s="8"/>
      <c r="G174" s="8"/>
      <c r="H174" s="7"/>
      <c r="I174" s="29">
        <f t="shared" si="10"/>
        <v>0</v>
      </c>
    </row>
    <row r="175" spans="1:9" ht="94.5" x14ac:dyDescent="0.45">
      <c r="A175" s="40" t="s">
        <v>209</v>
      </c>
      <c r="B175" s="39" t="s">
        <v>42</v>
      </c>
      <c r="C175" s="41"/>
      <c r="D175" s="30"/>
      <c r="E175" s="30" t="s">
        <v>44</v>
      </c>
      <c r="F175" s="8"/>
      <c r="G175" s="8"/>
      <c r="H175" s="7"/>
      <c r="I175" s="29">
        <f t="shared" si="10"/>
        <v>0</v>
      </c>
    </row>
    <row r="176" spans="1:9" ht="94.5" x14ac:dyDescent="0.45">
      <c r="A176" s="40" t="s">
        <v>210</v>
      </c>
      <c r="B176" s="39" t="s">
        <v>42</v>
      </c>
      <c r="C176" s="41"/>
      <c r="D176" s="30"/>
      <c r="E176" s="30" t="s">
        <v>44</v>
      </c>
      <c r="F176" s="8"/>
      <c r="G176" s="8"/>
      <c r="H176" s="7"/>
      <c r="I176" s="29">
        <f t="shared" si="10"/>
        <v>0</v>
      </c>
    </row>
    <row r="177" spans="1:9" ht="94.5" x14ac:dyDescent="0.45">
      <c r="A177" s="40" t="s">
        <v>211</v>
      </c>
      <c r="B177" s="39" t="s">
        <v>42</v>
      </c>
      <c r="C177" s="41"/>
      <c r="D177" s="30"/>
      <c r="E177" s="30" t="s">
        <v>44</v>
      </c>
      <c r="F177" s="8"/>
      <c r="G177" s="8"/>
      <c r="H177" s="7"/>
      <c r="I177" s="29">
        <f t="shared" si="10"/>
        <v>0</v>
      </c>
    </row>
    <row r="178" spans="1:9" ht="94.5" x14ac:dyDescent="0.45">
      <c r="A178" s="40" t="s">
        <v>212</v>
      </c>
      <c r="B178" s="39" t="s">
        <v>42</v>
      </c>
      <c r="C178" s="41"/>
      <c r="D178" s="30"/>
      <c r="E178" s="30" t="s">
        <v>44</v>
      </c>
      <c r="F178" s="8"/>
      <c r="G178" s="8"/>
      <c r="H178" s="7"/>
      <c r="I178" s="29">
        <f t="shared" si="10"/>
        <v>0</v>
      </c>
    </row>
    <row r="179" spans="1:9" ht="94.5" x14ac:dyDescent="0.45">
      <c r="A179" s="40" t="s">
        <v>213</v>
      </c>
      <c r="B179" s="39" t="s">
        <v>42</v>
      </c>
      <c r="C179" s="41"/>
      <c r="D179" s="30"/>
      <c r="E179" s="30" t="s">
        <v>44</v>
      </c>
      <c r="F179" s="8"/>
      <c r="G179" s="8"/>
      <c r="H179" s="7"/>
      <c r="I179" s="29">
        <f t="shared" si="10"/>
        <v>0</v>
      </c>
    </row>
    <row r="180" spans="1:9" ht="94.5" x14ac:dyDescent="0.45">
      <c r="A180" s="40" t="s">
        <v>214</v>
      </c>
      <c r="B180" s="39" t="s">
        <v>42</v>
      </c>
      <c r="C180" s="41"/>
      <c r="D180" s="30"/>
      <c r="E180" s="30" t="s">
        <v>44</v>
      </c>
      <c r="F180" s="8"/>
      <c r="G180" s="8"/>
      <c r="H180" s="7"/>
      <c r="I180" s="29">
        <f t="shared" si="10"/>
        <v>0</v>
      </c>
    </row>
    <row r="181" spans="1:9" ht="94.5" x14ac:dyDescent="0.45">
      <c r="A181" s="40" t="s">
        <v>215</v>
      </c>
      <c r="B181" s="39" t="s">
        <v>42</v>
      </c>
      <c r="C181" s="41"/>
      <c r="D181" s="30"/>
      <c r="E181" s="30" t="s">
        <v>44</v>
      </c>
      <c r="F181" s="8"/>
      <c r="G181" s="8"/>
      <c r="H181" s="7"/>
      <c r="I181" s="29">
        <f t="shared" si="10"/>
        <v>0</v>
      </c>
    </row>
    <row r="182" spans="1:9" ht="94.5" x14ac:dyDescent="0.45">
      <c r="A182" s="40" t="s">
        <v>216</v>
      </c>
      <c r="B182" s="39" t="s">
        <v>42</v>
      </c>
      <c r="C182" s="41"/>
      <c r="D182" s="30"/>
      <c r="E182" s="30" t="s">
        <v>44</v>
      </c>
      <c r="F182" s="8"/>
      <c r="G182" s="8"/>
      <c r="H182" s="7"/>
      <c r="I182" s="29">
        <f t="shared" si="10"/>
        <v>0</v>
      </c>
    </row>
    <row r="183" spans="1:9" ht="94.5" x14ac:dyDescent="0.45">
      <c r="A183" s="40" t="s">
        <v>217</v>
      </c>
      <c r="B183" s="39" t="s">
        <v>42</v>
      </c>
      <c r="C183" s="41"/>
      <c r="D183" s="30"/>
      <c r="E183" s="30" t="s">
        <v>44</v>
      </c>
      <c r="F183" s="8"/>
      <c r="G183" s="8"/>
      <c r="H183" s="7"/>
      <c r="I183" s="29">
        <f t="shared" si="10"/>
        <v>0</v>
      </c>
    </row>
    <row r="184" spans="1:9" ht="94.5" x14ac:dyDescent="0.45">
      <c r="A184" s="40" t="s">
        <v>218</v>
      </c>
      <c r="B184" s="39" t="s">
        <v>42</v>
      </c>
      <c r="C184" s="41"/>
      <c r="D184" s="30"/>
      <c r="E184" s="30" t="s">
        <v>44</v>
      </c>
      <c r="F184" s="8"/>
      <c r="G184" s="8"/>
      <c r="H184" s="7"/>
      <c r="I184" s="29">
        <f t="shared" si="10"/>
        <v>0</v>
      </c>
    </row>
    <row r="185" spans="1:9" ht="94.5" x14ac:dyDescent="0.45">
      <c r="A185" s="40" t="s">
        <v>219</v>
      </c>
      <c r="B185" s="39" t="s">
        <v>42</v>
      </c>
      <c r="C185" s="41"/>
      <c r="D185" s="30"/>
      <c r="E185" s="30" t="s">
        <v>44</v>
      </c>
      <c r="F185" s="8"/>
      <c r="G185" s="8"/>
      <c r="H185" s="7"/>
      <c r="I185" s="29">
        <f t="shared" si="10"/>
        <v>0</v>
      </c>
    </row>
    <row r="186" spans="1:9" ht="94.5" x14ac:dyDescent="0.45">
      <c r="A186" s="40" t="s">
        <v>220</v>
      </c>
      <c r="B186" s="39" t="s">
        <v>42</v>
      </c>
      <c r="C186" s="41"/>
      <c r="D186" s="30"/>
      <c r="E186" s="30" t="s">
        <v>44</v>
      </c>
      <c r="F186" s="8"/>
      <c r="G186" s="8"/>
      <c r="H186" s="7"/>
      <c r="I186" s="29">
        <f t="shared" si="10"/>
        <v>0</v>
      </c>
    </row>
    <row r="187" spans="1:9" ht="94.5" x14ac:dyDescent="0.45">
      <c r="A187" s="40" t="s">
        <v>221</v>
      </c>
      <c r="B187" s="39" t="s">
        <v>42</v>
      </c>
      <c r="C187" s="41"/>
      <c r="D187" s="30"/>
      <c r="E187" s="30" t="s">
        <v>44</v>
      </c>
      <c r="F187" s="8"/>
      <c r="G187" s="8"/>
      <c r="H187" s="7"/>
      <c r="I187" s="29">
        <f t="shared" si="10"/>
        <v>0</v>
      </c>
    </row>
    <row r="188" spans="1:9" ht="94.5" x14ac:dyDescent="0.45">
      <c r="A188" s="40" t="s">
        <v>222</v>
      </c>
      <c r="B188" s="39" t="s">
        <v>42</v>
      </c>
      <c r="C188" s="41"/>
      <c r="D188" s="30"/>
      <c r="E188" s="30" t="s">
        <v>44</v>
      </c>
      <c r="F188" s="8"/>
      <c r="G188" s="8"/>
      <c r="H188" s="7"/>
      <c r="I188" s="29">
        <f t="shared" si="10"/>
        <v>0</v>
      </c>
    </row>
    <row r="189" spans="1:9" ht="94.5" x14ac:dyDescent="0.45">
      <c r="A189" s="40" t="s">
        <v>223</v>
      </c>
      <c r="B189" s="39" t="s">
        <v>42</v>
      </c>
      <c r="C189" s="41"/>
      <c r="D189" s="30"/>
      <c r="E189" s="30" t="s">
        <v>44</v>
      </c>
      <c r="F189" s="8"/>
      <c r="G189" s="8"/>
      <c r="H189" s="7"/>
      <c r="I189" s="29">
        <f t="shared" si="10"/>
        <v>0</v>
      </c>
    </row>
    <row r="190" spans="1:9" ht="94.5" x14ac:dyDescent="0.45">
      <c r="A190" s="40" t="s">
        <v>224</v>
      </c>
      <c r="B190" s="39" t="s">
        <v>42</v>
      </c>
      <c r="C190" s="41"/>
      <c r="D190" s="30"/>
      <c r="E190" s="30" t="s">
        <v>44</v>
      </c>
      <c r="F190" s="8"/>
      <c r="G190" s="8"/>
      <c r="H190" s="7"/>
      <c r="I190" s="29">
        <f t="shared" si="10"/>
        <v>0</v>
      </c>
    </row>
    <row r="191" spans="1:9" ht="94.5" x14ac:dyDescent="0.45">
      <c r="A191" s="40" t="s">
        <v>225</v>
      </c>
      <c r="B191" s="39" t="s">
        <v>42</v>
      </c>
      <c r="C191" s="41"/>
      <c r="D191" s="30"/>
      <c r="E191" s="30" t="s">
        <v>44</v>
      </c>
      <c r="F191" s="8"/>
      <c r="G191" s="8"/>
      <c r="H191" s="7"/>
      <c r="I191" s="29">
        <f t="shared" si="10"/>
        <v>0</v>
      </c>
    </row>
    <row r="192" spans="1:9" ht="94.5" x14ac:dyDescent="0.45">
      <c r="A192" s="40" t="s">
        <v>226</v>
      </c>
      <c r="B192" s="39" t="s">
        <v>42</v>
      </c>
      <c r="C192" s="41"/>
      <c r="D192" s="30"/>
      <c r="E192" s="30" t="s">
        <v>44</v>
      </c>
      <c r="F192" s="8"/>
      <c r="G192" s="8"/>
      <c r="H192" s="7"/>
      <c r="I192" s="29">
        <f t="shared" si="10"/>
        <v>0</v>
      </c>
    </row>
    <row r="193" spans="1:9" ht="94.5" x14ac:dyDescent="0.45">
      <c r="A193" s="40" t="s">
        <v>227</v>
      </c>
      <c r="B193" s="39" t="s">
        <v>42</v>
      </c>
      <c r="C193" s="41"/>
      <c r="D193" s="30"/>
      <c r="E193" s="30" t="s">
        <v>44</v>
      </c>
      <c r="F193" s="8"/>
      <c r="G193" s="8"/>
      <c r="H193" s="7"/>
      <c r="I193" s="29">
        <f t="shared" si="10"/>
        <v>0</v>
      </c>
    </row>
    <row r="194" spans="1:9" ht="94.5" x14ac:dyDescent="0.45">
      <c r="A194" s="40" t="s">
        <v>228</v>
      </c>
      <c r="B194" s="39" t="s">
        <v>42</v>
      </c>
      <c r="C194" s="41"/>
      <c r="D194" s="30"/>
      <c r="E194" s="30" t="s">
        <v>44</v>
      </c>
      <c r="F194" s="8"/>
      <c r="G194" s="8"/>
      <c r="H194" s="7"/>
      <c r="I194" s="29">
        <f t="shared" si="10"/>
        <v>0</v>
      </c>
    </row>
    <row r="195" spans="1:9" ht="94.5" x14ac:dyDescent="0.45">
      <c r="A195" s="40" t="s">
        <v>229</v>
      </c>
      <c r="B195" s="39" t="s">
        <v>42</v>
      </c>
      <c r="C195" s="41"/>
      <c r="D195" s="30"/>
      <c r="E195" s="30" t="s">
        <v>44</v>
      </c>
      <c r="F195" s="8"/>
      <c r="G195" s="8"/>
      <c r="H195" s="7"/>
      <c r="I195" s="29">
        <f t="shared" si="10"/>
        <v>0</v>
      </c>
    </row>
    <row r="196" spans="1:9" ht="94.5" x14ac:dyDescent="0.45">
      <c r="A196" s="40" t="s">
        <v>230</v>
      </c>
      <c r="B196" s="39" t="s">
        <v>42</v>
      </c>
      <c r="C196" s="41"/>
      <c r="D196" s="30"/>
      <c r="E196" s="30" t="s">
        <v>44</v>
      </c>
      <c r="F196" s="8"/>
      <c r="G196" s="8"/>
      <c r="H196" s="7"/>
      <c r="I196" s="29">
        <f t="shared" si="10"/>
        <v>0</v>
      </c>
    </row>
    <row r="197" spans="1:9" ht="94.5" x14ac:dyDescent="0.45">
      <c r="A197" s="40" t="s">
        <v>231</v>
      </c>
      <c r="B197" s="39" t="s">
        <v>42</v>
      </c>
      <c r="C197" s="41"/>
      <c r="D197" s="30"/>
      <c r="E197" s="30" t="s">
        <v>44</v>
      </c>
      <c r="F197" s="8"/>
      <c r="G197" s="8"/>
      <c r="H197" s="7"/>
      <c r="I197" s="29">
        <f t="shared" si="10"/>
        <v>0</v>
      </c>
    </row>
    <row r="198" spans="1:9" ht="94.5" x14ac:dyDescent="0.45">
      <c r="A198" s="40" t="s">
        <v>232</v>
      </c>
      <c r="B198" s="39" t="s">
        <v>42</v>
      </c>
      <c r="C198" s="41"/>
      <c r="D198" s="30"/>
      <c r="E198" s="30" t="s">
        <v>44</v>
      </c>
      <c r="F198" s="8"/>
      <c r="G198" s="8"/>
      <c r="H198" s="7"/>
      <c r="I198" s="29">
        <f t="shared" si="10"/>
        <v>0</v>
      </c>
    </row>
    <row r="199" spans="1:9" ht="94.5" x14ac:dyDescent="0.45">
      <c r="A199" s="40" t="s">
        <v>233</v>
      </c>
      <c r="B199" s="39" t="s">
        <v>42</v>
      </c>
      <c r="C199" s="41"/>
      <c r="D199" s="30"/>
      <c r="E199" s="30" t="s">
        <v>44</v>
      </c>
      <c r="F199" s="8"/>
      <c r="G199" s="8"/>
      <c r="H199" s="7"/>
      <c r="I199" s="29">
        <f t="shared" si="10"/>
        <v>0</v>
      </c>
    </row>
    <row r="200" spans="1:9" ht="94.5" x14ac:dyDescent="0.45">
      <c r="A200" s="40" t="s">
        <v>234</v>
      </c>
      <c r="B200" s="39" t="s">
        <v>42</v>
      </c>
      <c r="C200" s="41"/>
      <c r="D200" s="30"/>
      <c r="E200" s="30" t="s">
        <v>44</v>
      </c>
      <c r="F200" s="8"/>
      <c r="G200" s="8"/>
      <c r="H200" s="7"/>
      <c r="I200" s="29">
        <f t="shared" si="10"/>
        <v>0</v>
      </c>
    </row>
    <row r="201" spans="1:9" ht="94.5" x14ac:dyDescent="0.45">
      <c r="A201" s="40" t="s">
        <v>235</v>
      </c>
      <c r="B201" s="39" t="s">
        <v>42</v>
      </c>
      <c r="C201" s="41"/>
      <c r="D201" s="30"/>
      <c r="E201" s="30" t="s">
        <v>44</v>
      </c>
      <c r="F201" s="8"/>
      <c r="G201" s="8"/>
      <c r="H201" s="7"/>
      <c r="I201" s="29">
        <f t="shared" si="10"/>
        <v>0</v>
      </c>
    </row>
    <row r="202" spans="1:9" ht="94.5" x14ac:dyDescent="0.45">
      <c r="A202" s="40" t="s">
        <v>236</v>
      </c>
      <c r="B202" s="39" t="s">
        <v>42</v>
      </c>
      <c r="C202" s="41"/>
      <c r="D202" s="30"/>
      <c r="E202" s="30" t="s">
        <v>44</v>
      </c>
      <c r="F202" s="8"/>
      <c r="G202" s="8"/>
      <c r="H202" s="7"/>
      <c r="I202" s="29">
        <f t="shared" si="10"/>
        <v>0</v>
      </c>
    </row>
    <row r="203" spans="1:9" ht="94.5" x14ac:dyDescent="0.45">
      <c r="A203" s="40" t="s">
        <v>237</v>
      </c>
      <c r="B203" s="39" t="s">
        <v>42</v>
      </c>
      <c r="C203" s="41"/>
      <c r="D203" s="30"/>
      <c r="E203" s="30" t="s">
        <v>44</v>
      </c>
      <c r="F203" s="8"/>
      <c r="G203" s="8"/>
      <c r="H203" s="7"/>
      <c r="I203" s="29">
        <f t="shared" si="10"/>
        <v>0</v>
      </c>
    </row>
    <row r="204" spans="1:9" ht="94.5" x14ac:dyDescent="0.45">
      <c r="A204" s="40" t="s">
        <v>238</v>
      </c>
      <c r="B204" s="39" t="s">
        <v>42</v>
      </c>
      <c r="C204" s="41"/>
      <c r="D204" s="30"/>
      <c r="E204" s="30" t="s">
        <v>44</v>
      </c>
      <c r="F204" s="8"/>
      <c r="G204" s="8"/>
      <c r="H204" s="7"/>
      <c r="I204" s="29">
        <f t="shared" si="10"/>
        <v>0</v>
      </c>
    </row>
    <row r="205" spans="1:9" ht="94.5" x14ac:dyDescent="0.45">
      <c r="A205" s="40" t="s">
        <v>239</v>
      </c>
      <c r="B205" s="39" t="s">
        <v>42</v>
      </c>
      <c r="C205" s="41"/>
      <c r="D205" s="30"/>
      <c r="E205" s="30" t="s">
        <v>44</v>
      </c>
      <c r="F205" s="8"/>
      <c r="G205" s="8"/>
      <c r="H205" s="7"/>
      <c r="I205" s="29">
        <f t="shared" si="10"/>
        <v>0</v>
      </c>
    </row>
    <row r="206" spans="1:9" ht="94.5" x14ac:dyDescent="0.45">
      <c r="A206" s="40" t="s">
        <v>240</v>
      </c>
      <c r="B206" s="39" t="s">
        <v>42</v>
      </c>
      <c r="C206" s="41"/>
      <c r="D206" s="30"/>
      <c r="E206" s="30" t="s">
        <v>44</v>
      </c>
      <c r="F206" s="8"/>
      <c r="G206" s="8"/>
      <c r="H206" s="7"/>
      <c r="I206" s="29">
        <f t="shared" si="10"/>
        <v>0</v>
      </c>
    </row>
    <row r="207" spans="1:9" ht="94.5" x14ac:dyDescent="0.45">
      <c r="A207" s="40" t="s">
        <v>241</v>
      </c>
      <c r="B207" s="39" t="s">
        <v>42</v>
      </c>
      <c r="C207" s="41"/>
      <c r="D207" s="30"/>
      <c r="E207" s="30" t="s">
        <v>44</v>
      </c>
      <c r="F207" s="8"/>
      <c r="G207" s="8"/>
      <c r="H207" s="7"/>
      <c r="I207" s="29">
        <f t="shared" si="10"/>
        <v>0</v>
      </c>
    </row>
    <row r="208" spans="1:9" ht="94.5" x14ac:dyDescent="0.45">
      <c r="A208" s="40" t="s">
        <v>242</v>
      </c>
      <c r="B208" s="39" t="s">
        <v>42</v>
      </c>
      <c r="C208" s="41"/>
      <c r="D208" s="30"/>
      <c r="E208" s="30" t="s">
        <v>44</v>
      </c>
      <c r="F208" s="8"/>
      <c r="G208" s="8"/>
      <c r="H208" s="7"/>
      <c r="I208" s="29">
        <f t="shared" si="10"/>
        <v>0</v>
      </c>
    </row>
    <row r="209" spans="1:9" ht="94.5" x14ac:dyDescent="0.45">
      <c r="A209" s="40" t="s">
        <v>243</v>
      </c>
      <c r="B209" s="39" t="s">
        <v>42</v>
      </c>
      <c r="C209" s="41"/>
      <c r="D209" s="30"/>
      <c r="E209" s="30" t="s">
        <v>44</v>
      </c>
      <c r="F209" s="8"/>
      <c r="G209" s="8"/>
      <c r="H209" s="7"/>
      <c r="I209" s="29">
        <f t="shared" si="10"/>
        <v>0</v>
      </c>
    </row>
    <row r="210" spans="1:9" ht="94.5" x14ac:dyDescent="0.45">
      <c r="A210" s="40" t="s">
        <v>244</v>
      </c>
      <c r="B210" s="39" t="s">
        <v>42</v>
      </c>
      <c r="C210" s="41"/>
      <c r="D210" s="30"/>
      <c r="E210" s="30" t="s">
        <v>44</v>
      </c>
      <c r="F210" s="8"/>
      <c r="G210" s="8"/>
      <c r="H210" s="7"/>
      <c r="I210" s="29">
        <f t="shared" si="10"/>
        <v>0</v>
      </c>
    </row>
    <row r="211" spans="1:9" ht="94.5" x14ac:dyDescent="0.45">
      <c r="A211" s="40" t="s">
        <v>245</v>
      </c>
      <c r="B211" s="39" t="s">
        <v>42</v>
      </c>
      <c r="C211" s="41"/>
      <c r="D211" s="30"/>
      <c r="E211" s="30" t="s">
        <v>44</v>
      </c>
      <c r="F211" s="8"/>
      <c r="G211" s="8"/>
      <c r="H211" s="7"/>
      <c r="I211" s="29">
        <f t="shared" si="10"/>
        <v>0</v>
      </c>
    </row>
    <row r="212" spans="1:9" ht="94.5" x14ac:dyDescent="0.45">
      <c r="A212" s="40" t="s">
        <v>246</v>
      </c>
      <c r="B212" s="39" t="s">
        <v>42</v>
      </c>
      <c r="C212" s="41"/>
      <c r="D212" s="30"/>
      <c r="E212" s="30" t="s">
        <v>44</v>
      </c>
      <c r="F212" s="8"/>
      <c r="G212" s="8"/>
      <c r="H212" s="7"/>
      <c r="I212" s="29">
        <f t="shared" si="10"/>
        <v>0</v>
      </c>
    </row>
    <row r="213" spans="1:9" ht="94.5" x14ac:dyDescent="0.45">
      <c r="A213" s="40" t="s">
        <v>247</v>
      </c>
      <c r="B213" s="39" t="s">
        <v>42</v>
      </c>
      <c r="C213" s="41"/>
      <c r="D213" s="30"/>
      <c r="E213" s="30" t="s">
        <v>44</v>
      </c>
      <c r="F213" s="8"/>
      <c r="G213" s="8"/>
      <c r="H213" s="7"/>
      <c r="I213" s="29">
        <f t="shared" si="10"/>
        <v>0</v>
      </c>
    </row>
    <row r="214" spans="1:9" ht="94.5" x14ac:dyDescent="0.45">
      <c r="A214" s="40" t="s">
        <v>248</v>
      </c>
      <c r="B214" s="39" t="s">
        <v>42</v>
      </c>
      <c r="C214" s="41"/>
      <c r="D214" s="30"/>
      <c r="E214" s="30" t="s">
        <v>44</v>
      </c>
      <c r="F214" s="8"/>
      <c r="G214" s="8"/>
      <c r="H214" s="7"/>
      <c r="I214" s="29">
        <f t="shared" si="10"/>
        <v>0</v>
      </c>
    </row>
    <row r="215" spans="1:9" ht="94.5" x14ac:dyDescent="0.45">
      <c r="A215" s="40" t="s">
        <v>249</v>
      </c>
      <c r="B215" s="39" t="s">
        <v>42</v>
      </c>
      <c r="C215" s="41"/>
      <c r="D215" s="30"/>
      <c r="E215" s="30" t="s">
        <v>44</v>
      </c>
      <c r="F215" s="8"/>
      <c r="G215" s="8"/>
      <c r="H215" s="7"/>
      <c r="I215" s="29">
        <f t="shared" si="10"/>
        <v>0</v>
      </c>
    </row>
    <row r="216" spans="1:9" ht="94.5" x14ac:dyDescent="0.45">
      <c r="A216" s="40" t="s">
        <v>250</v>
      </c>
      <c r="B216" s="39" t="s">
        <v>42</v>
      </c>
      <c r="C216" s="41"/>
      <c r="D216" s="30"/>
      <c r="E216" s="30" t="s">
        <v>44</v>
      </c>
      <c r="F216" s="8"/>
      <c r="G216" s="8"/>
      <c r="H216" s="7"/>
      <c r="I216" s="29">
        <f t="shared" si="10"/>
        <v>0</v>
      </c>
    </row>
    <row r="217" spans="1:9" ht="94.5" x14ac:dyDescent="0.45">
      <c r="A217" s="40" t="s">
        <v>251</v>
      </c>
      <c r="B217" s="39" t="s">
        <v>42</v>
      </c>
      <c r="C217" s="41"/>
      <c r="D217" s="30"/>
      <c r="E217" s="30" t="s">
        <v>44</v>
      </c>
      <c r="F217" s="8"/>
      <c r="G217" s="8"/>
      <c r="H217" s="7"/>
      <c r="I217" s="29">
        <f t="shared" si="10"/>
        <v>0</v>
      </c>
    </row>
    <row r="218" spans="1:9" ht="94.5" x14ac:dyDescent="0.45">
      <c r="A218" s="40" t="s">
        <v>252</v>
      </c>
      <c r="B218" s="39" t="s">
        <v>42</v>
      </c>
      <c r="C218" s="41"/>
      <c r="D218" s="30"/>
      <c r="E218" s="30" t="s">
        <v>44</v>
      </c>
      <c r="F218" s="8"/>
      <c r="G218" s="8"/>
      <c r="H218" s="7"/>
      <c r="I218" s="29">
        <f t="shared" si="10"/>
        <v>0</v>
      </c>
    </row>
    <row r="219" spans="1:9" ht="94.5" x14ac:dyDescent="0.45">
      <c r="A219" s="40" t="s">
        <v>253</v>
      </c>
      <c r="B219" s="39" t="s">
        <v>42</v>
      </c>
      <c r="C219" s="41"/>
      <c r="D219" s="30"/>
      <c r="E219" s="30" t="s">
        <v>44</v>
      </c>
      <c r="F219" s="8"/>
      <c r="G219" s="8"/>
      <c r="H219" s="7"/>
      <c r="I219" s="29">
        <f t="shared" si="10"/>
        <v>0</v>
      </c>
    </row>
    <row r="220" spans="1:9" ht="94.5" x14ac:dyDescent="0.45">
      <c r="A220" s="40" t="s">
        <v>254</v>
      </c>
      <c r="B220" s="39" t="s">
        <v>42</v>
      </c>
      <c r="C220" s="41"/>
      <c r="D220" s="30"/>
      <c r="E220" s="30" t="s">
        <v>44</v>
      </c>
      <c r="F220" s="8"/>
      <c r="G220" s="8"/>
      <c r="H220" s="7"/>
      <c r="I220" s="29">
        <f t="shared" si="10"/>
        <v>0</v>
      </c>
    </row>
    <row r="221" spans="1:9" ht="94.5" x14ac:dyDescent="0.45">
      <c r="A221" s="40" t="s">
        <v>255</v>
      </c>
      <c r="B221" s="39" t="s">
        <v>42</v>
      </c>
      <c r="C221" s="41"/>
      <c r="D221" s="30"/>
      <c r="E221" s="30" t="s">
        <v>44</v>
      </c>
      <c r="F221" s="8"/>
      <c r="G221" s="8"/>
      <c r="H221" s="7"/>
      <c r="I221" s="29">
        <f t="shared" si="10"/>
        <v>0</v>
      </c>
    </row>
    <row r="222" spans="1:9" ht="94.5" x14ac:dyDescent="0.45">
      <c r="A222" s="40" t="s">
        <v>256</v>
      </c>
      <c r="B222" s="39" t="s">
        <v>42</v>
      </c>
      <c r="C222" s="41"/>
      <c r="D222" s="30"/>
      <c r="E222" s="30" t="s">
        <v>44</v>
      </c>
      <c r="F222" s="8"/>
      <c r="G222" s="8"/>
      <c r="H222" s="7"/>
      <c r="I222" s="29">
        <f t="shared" si="10"/>
        <v>0</v>
      </c>
    </row>
    <row r="223" spans="1:9" ht="94.5" x14ac:dyDescent="0.45">
      <c r="A223" s="40" t="s">
        <v>257</v>
      </c>
      <c r="B223" s="39" t="s">
        <v>42</v>
      </c>
      <c r="C223" s="41"/>
      <c r="D223" s="30"/>
      <c r="E223" s="30" t="s">
        <v>44</v>
      </c>
      <c r="F223" s="8"/>
      <c r="G223" s="8"/>
      <c r="H223" s="7"/>
      <c r="I223" s="29">
        <f t="shared" si="10"/>
        <v>0</v>
      </c>
    </row>
    <row r="224" spans="1:9" ht="94.5" x14ac:dyDescent="0.45">
      <c r="A224" s="40" t="s">
        <v>258</v>
      </c>
      <c r="B224" s="39" t="s">
        <v>42</v>
      </c>
      <c r="C224" s="41"/>
      <c r="D224" s="30"/>
      <c r="E224" s="30" t="s">
        <v>44</v>
      </c>
      <c r="F224" s="8"/>
      <c r="G224" s="8"/>
      <c r="H224" s="7"/>
      <c r="I224" s="29">
        <f t="shared" si="10"/>
        <v>0</v>
      </c>
    </row>
    <row r="225" spans="1:9" ht="94.5" x14ac:dyDescent="0.45">
      <c r="A225" s="40" t="s">
        <v>259</v>
      </c>
      <c r="B225" s="39" t="s">
        <v>42</v>
      </c>
      <c r="C225" s="41"/>
      <c r="D225" s="30"/>
      <c r="E225" s="30" t="s">
        <v>44</v>
      </c>
      <c r="F225" s="8"/>
      <c r="G225" s="8"/>
      <c r="H225" s="7"/>
      <c r="I225" s="29">
        <f t="shared" ref="I225:I288" si="11">F225*H225</f>
        <v>0</v>
      </c>
    </row>
    <row r="226" spans="1:9" ht="94.5" x14ac:dyDescent="0.45">
      <c r="A226" s="40" t="s">
        <v>260</v>
      </c>
      <c r="B226" s="39" t="s">
        <v>42</v>
      </c>
      <c r="C226" s="41"/>
      <c r="D226" s="30"/>
      <c r="E226" s="30" t="s">
        <v>44</v>
      </c>
      <c r="F226" s="8"/>
      <c r="G226" s="8"/>
      <c r="H226" s="7"/>
      <c r="I226" s="29">
        <f t="shared" si="11"/>
        <v>0</v>
      </c>
    </row>
    <row r="227" spans="1:9" ht="94.5" x14ac:dyDescent="0.45">
      <c r="A227" s="40" t="s">
        <v>261</v>
      </c>
      <c r="B227" s="39" t="s">
        <v>42</v>
      </c>
      <c r="C227" s="41"/>
      <c r="D227" s="30"/>
      <c r="E227" s="30" t="s">
        <v>44</v>
      </c>
      <c r="F227" s="8"/>
      <c r="G227" s="8"/>
      <c r="H227" s="7"/>
      <c r="I227" s="29">
        <f t="shared" si="11"/>
        <v>0</v>
      </c>
    </row>
    <row r="228" spans="1:9" ht="94.5" x14ac:dyDescent="0.45">
      <c r="A228" s="40" t="s">
        <v>262</v>
      </c>
      <c r="B228" s="39" t="s">
        <v>42</v>
      </c>
      <c r="C228" s="41"/>
      <c r="D228" s="30"/>
      <c r="E228" s="30" t="s">
        <v>44</v>
      </c>
      <c r="F228" s="8"/>
      <c r="G228" s="8"/>
      <c r="H228" s="7"/>
      <c r="I228" s="29">
        <f t="shared" si="11"/>
        <v>0</v>
      </c>
    </row>
    <row r="229" spans="1:9" ht="94.5" x14ac:dyDescent="0.45">
      <c r="A229" s="40" t="s">
        <v>263</v>
      </c>
      <c r="B229" s="39" t="s">
        <v>42</v>
      </c>
      <c r="C229" s="41"/>
      <c r="D229" s="30"/>
      <c r="E229" s="30" t="s">
        <v>44</v>
      </c>
      <c r="F229" s="8"/>
      <c r="G229" s="8"/>
      <c r="H229" s="7"/>
      <c r="I229" s="29">
        <f t="shared" si="11"/>
        <v>0</v>
      </c>
    </row>
    <row r="230" spans="1:9" ht="94.5" x14ac:dyDescent="0.45">
      <c r="A230" s="40" t="s">
        <v>264</v>
      </c>
      <c r="B230" s="39" t="s">
        <v>42</v>
      </c>
      <c r="C230" s="41"/>
      <c r="D230" s="30"/>
      <c r="E230" s="30" t="s">
        <v>44</v>
      </c>
      <c r="F230" s="8"/>
      <c r="G230" s="8"/>
      <c r="H230" s="7"/>
      <c r="I230" s="29">
        <f t="shared" si="11"/>
        <v>0</v>
      </c>
    </row>
    <row r="231" spans="1:9" ht="94.5" x14ac:dyDescent="0.45">
      <c r="A231" s="40" t="s">
        <v>265</v>
      </c>
      <c r="B231" s="39" t="s">
        <v>42</v>
      </c>
      <c r="C231" s="41"/>
      <c r="D231" s="30"/>
      <c r="E231" s="30" t="s">
        <v>44</v>
      </c>
      <c r="F231" s="8"/>
      <c r="G231" s="8"/>
      <c r="H231" s="7"/>
      <c r="I231" s="29">
        <f t="shared" si="11"/>
        <v>0</v>
      </c>
    </row>
    <row r="232" spans="1:9" ht="94.5" x14ac:dyDescent="0.45">
      <c r="A232" s="40" t="s">
        <v>266</v>
      </c>
      <c r="B232" s="39" t="s">
        <v>42</v>
      </c>
      <c r="C232" s="41"/>
      <c r="D232" s="30"/>
      <c r="E232" s="30" t="s">
        <v>44</v>
      </c>
      <c r="F232" s="8"/>
      <c r="G232" s="8"/>
      <c r="H232" s="7"/>
      <c r="I232" s="29">
        <f t="shared" si="11"/>
        <v>0</v>
      </c>
    </row>
    <row r="233" spans="1:9" ht="94.5" x14ac:dyDescent="0.45">
      <c r="A233" s="40" t="s">
        <v>267</v>
      </c>
      <c r="B233" s="39" t="s">
        <v>42</v>
      </c>
      <c r="C233" s="41"/>
      <c r="D233" s="30"/>
      <c r="E233" s="30" t="s">
        <v>44</v>
      </c>
      <c r="F233" s="8"/>
      <c r="G233" s="8"/>
      <c r="H233" s="7"/>
      <c r="I233" s="29">
        <f t="shared" si="11"/>
        <v>0</v>
      </c>
    </row>
    <row r="234" spans="1:9" ht="94.5" x14ac:dyDescent="0.45">
      <c r="A234" s="40" t="s">
        <v>268</v>
      </c>
      <c r="B234" s="39" t="s">
        <v>42</v>
      </c>
      <c r="C234" s="41"/>
      <c r="D234" s="30"/>
      <c r="E234" s="30" t="s">
        <v>44</v>
      </c>
      <c r="F234" s="8"/>
      <c r="G234" s="8"/>
      <c r="H234" s="7"/>
      <c r="I234" s="29">
        <f t="shared" si="11"/>
        <v>0</v>
      </c>
    </row>
    <row r="235" spans="1:9" ht="94.5" x14ac:dyDescent="0.45">
      <c r="A235" s="40" t="s">
        <v>269</v>
      </c>
      <c r="B235" s="39" t="s">
        <v>42</v>
      </c>
      <c r="C235" s="41"/>
      <c r="D235" s="30"/>
      <c r="E235" s="30" t="s">
        <v>44</v>
      </c>
      <c r="F235" s="8"/>
      <c r="G235" s="8"/>
      <c r="H235" s="7"/>
      <c r="I235" s="29">
        <f t="shared" si="11"/>
        <v>0</v>
      </c>
    </row>
    <row r="236" spans="1:9" ht="94.5" x14ac:dyDescent="0.45">
      <c r="A236" s="40" t="s">
        <v>270</v>
      </c>
      <c r="B236" s="39" t="s">
        <v>42</v>
      </c>
      <c r="C236" s="41"/>
      <c r="D236" s="30"/>
      <c r="E236" s="30" t="s">
        <v>44</v>
      </c>
      <c r="F236" s="8"/>
      <c r="G236" s="8"/>
      <c r="H236" s="7"/>
      <c r="I236" s="29">
        <f t="shared" si="11"/>
        <v>0</v>
      </c>
    </row>
    <row r="237" spans="1:9" ht="94.5" x14ac:dyDescent="0.45">
      <c r="A237" s="40" t="s">
        <v>271</v>
      </c>
      <c r="B237" s="39" t="s">
        <v>42</v>
      </c>
      <c r="C237" s="41"/>
      <c r="D237" s="30"/>
      <c r="E237" s="30" t="s">
        <v>44</v>
      </c>
      <c r="F237" s="8"/>
      <c r="G237" s="8"/>
      <c r="H237" s="7"/>
      <c r="I237" s="29">
        <f t="shared" si="11"/>
        <v>0</v>
      </c>
    </row>
    <row r="238" spans="1:9" ht="94.5" x14ac:dyDescent="0.45">
      <c r="A238" s="40" t="s">
        <v>272</v>
      </c>
      <c r="B238" s="39" t="s">
        <v>42</v>
      </c>
      <c r="C238" s="41"/>
      <c r="D238" s="30"/>
      <c r="E238" s="30" t="s">
        <v>44</v>
      </c>
      <c r="F238" s="8"/>
      <c r="G238" s="8"/>
      <c r="H238" s="7"/>
      <c r="I238" s="29">
        <f t="shared" si="11"/>
        <v>0</v>
      </c>
    </row>
    <row r="239" spans="1:9" ht="94.5" x14ac:dyDescent="0.45">
      <c r="A239" s="40" t="s">
        <v>273</v>
      </c>
      <c r="B239" s="39" t="s">
        <v>42</v>
      </c>
      <c r="C239" s="41"/>
      <c r="D239" s="30"/>
      <c r="E239" s="30" t="s">
        <v>44</v>
      </c>
      <c r="F239" s="8"/>
      <c r="G239" s="8"/>
      <c r="H239" s="7"/>
      <c r="I239" s="29">
        <f t="shared" si="11"/>
        <v>0</v>
      </c>
    </row>
    <row r="240" spans="1:9" ht="94.5" x14ac:dyDescent="0.45">
      <c r="A240" s="40" t="s">
        <v>274</v>
      </c>
      <c r="B240" s="39" t="s">
        <v>42</v>
      </c>
      <c r="C240" s="41"/>
      <c r="D240" s="30"/>
      <c r="E240" s="30" t="s">
        <v>44</v>
      </c>
      <c r="F240" s="8"/>
      <c r="G240" s="8"/>
      <c r="H240" s="7"/>
      <c r="I240" s="29">
        <f t="shared" si="11"/>
        <v>0</v>
      </c>
    </row>
    <row r="241" spans="1:9" ht="94.5" x14ac:dyDescent="0.45">
      <c r="A241" s="40" t="s">
        <v>275</v>
      </c>
      <c r="B241" s="39" t="s">
        <v>42</v>
      </c>
      <c r="C241" s="41"/>
      <c r="D241" s="30"/>
      <c r="E241" s="30" t="s">
        <v>44</v>
      </c>
      <c r="F241" s="8"/>
      <c r="G241" s="8"/>
      <c r="H241" s="7"/>
      <c r="I241" s="29">
        <f t="shared" si="11"/>
        <v>0</v>
      </c>
    </row>
    <row r="242" spans="1:9" ht="94.5" x14ac:dyDescent="0.45">
      <c r="A242" s="40" t="s">
        <v>276</v>
      </c>
      <c r="B242" s="39" t="s">
        <v>42</v>
      </c>
      <c r="C242" s="41"/>
      <c r="D242" s="30"/>
      <c r="E242" s="30" t="s">
        <v>44</v>
      </c>
      <c r="F242" s="8"/>
      <c r="G242" s="8"/>
      <c r="H242" s="7"/>
      <c r="I242" s="29">
        <f t="shared" si="11"/>
        <v>0</v>
      </c>
    </row>
    <row r="243" spans="1:9" ht="94.5" x14ac:dyDescent="0.45">
      <c r="A243" s="40" t="s">
        <v>277</v>
      </c>
      <c r="B243" s="39" t="s">
        <v>42</v>
      </c>
      <c r="C243" s="41"/>
      <c r="D243" s="30"/>
      <c r="E243" s="30" t="s">
        <v>44</v>
      </c>
      <c r="F243" s="8"/>
      <c r="G243" s="8"/>
      <c r="H243" s="7"/>
      <c r="I243" s="29">
        <f t="shared" si="11"/>
        <v>0</v>
      </c>
    </row>
    <row r="244" spans="1:9" ht="94.5" x14ac:dyDescent="0.45">
      <c r="A244" s="40" t="s">
        <v>278</v>
      </c>
      <c r="B244" s="39" t="s">
        <v>42</v>
      </c>
      <c r="C244" s="41"/>
      <c r="D244" s="30"/>
      <c r="E244" s="30" t="s">
        <v>44</v>
      </c>
      <c r="F244" s="8"/>
      <c r="G244" s="8"/>
      <c r="H244" s="7"/>
      <c r="I244" s="29">
        <f t="shared" si="11"/>
        <v>0</v>
      </c>
    </row>
    <row r="245" spans="1:9" ht="94.5" x14ac:dyDescent="0.45">
      <c r="A245" s="40" t="s">
        <v>279</v>
      </c>
      <c r="B245" s="39" t="s">
        <v>42</v>
      </c>
      <c r="C245" s="41"/>
      <c r="D245" s="30"/>
      <c r="E245" s="30" t="s">
        <v>44</v>
      </c>
      <c r="F245" s="8"/>
      <c r="G245" s="8"/>
      <c r="H245" s="7"/>
      <c r="I245" s="29">
        <f t="shared" si="11"/>
        <v>0</v>
      </c>
    </row>
    <row r="246" spans="1:9" ht="94.5" x14ac:dyDescent="0.45">
      <c r="A246" s="40" t="s">
        <v>280</v>
      </c>
      <c r="B246" s="39" t="s">
        <v>42</v>
      </c>
      <c r="C246" s="41"/>
      <c r="D246" s="30"/>
      <c r="E246" s="30" t="s">
        <v>44</v>
      </c>
      <c r="F246" s="8"/>
      <c r="G246" s="8"/>
      <c r="H246" s="7"/>
      <c r="I246" s="29">
        <f t="shared" si="11"/>
        <v>0</v>
      </c>
    </row>
    <row r="247" spans="1:9" ht="94.5" x14ac:dyDescent="0.45">
      <c r="A247" s="40" t="s">
        <v>281</v>
      </c>
      <c r="B247" s="39" t="s">
        <v>42</v>
      </c>
      <c r="C247" s="41"/>
      <c r="D247" s="30"/>
      <c r="E247" s="30" t="s">
        <v>44</v>
      </c>
      <c r="F247" s="8"/>
      <c r="G247" s="8"/>
      <c r="H247" s="7"/>
      <c r="I247" s="29">
        <f t="shared" si="11"/>
        <v>0</v>
      </c>
    </row>
    <row r="248" spans="1:9" ht="94.5" x14ac:dyDescent="0.45">
      <c r="A248" s="40" t="s">
        <v>282</v>
      </c>
      <c r="B248" s="39" t="s">
        <v>42</v>
      </c>
      <c r="C248" s="41"/>
      <c r="D248" s="30"/>
      <c r="E248" s="30" t="s">
        <v>44</v>
      </c>
      <c r="F248" s="8"/>
      <c r="G248" s="8"/>
      <c r="H248" s="7"/>
      <c r="I248" s="29">
        <f t="shared" si="11"/>
        <v>0</v>
      </c>
    </row>
    <row r="249" spans="1:9" ht="94.5" x14ac:dyDescent="0.45">
      <c r="A249" s="40" t="s">
        <v>283</v>
      </c>
      <c r="B249" s="39" t="s">
        <v>42</v>
      </c>
      <c r="C249" s="41"/>
      <c r="D249" s="30"/>
      <c r="E249" s="30" t="s">
        <v>44</v>
      </c>
      <c r="F249" s="8"/>
      <c r="G249" s="8"/>
      <c r="H249" s="7"/>
      <c r="I249" s="29">
        <f t="shared" si="11"/>
        <v>0</v>
      </c>
    </row>
    <row r="250" spans="1:9" ht="94.5" x14ac:dyDescent="0.45">
      <c r="A250" s="40" t="s">
        <v>284</v>
      </c>
      <c r="B250" s="39" t="s">
        <v>42</v>
      </c>
      <c r="C250" s="41"/>
      <c r="D250" s="30"/>
      <c r="E250" s="30" t="s">
        <v>44</v>
      </c>
      <c r="F250" s="8"/>
      <c r="G250" s="8"/>
      <c r="H250" s="7"/>
      <c r="I250" s="29">
        <f t="shared" si="11"/>
        <v>0</v>
      </c>
    </row>
    <row r="251" spans="1:9" ht="94.5" x14ac:dyDescent="0.45">
      <c r="A251" s="40" t="s">
        <v>285</v>
      </c>
      <c r="B251" s="39" t="s">
        <v>42</v>
      </c>
      <c r="C251" s="41"/>
      <c r="D251" s="30"/>
      <c r="E251" s="30" t="s">
        <v>44</v>
      </c>
      <c r="F251" s="8"/>
      <c r="G251" s="8"/>
      <c r="H251" s="7"/>
      <c r="I251" s="29">
        <f t="shared" si="11"/>
        <v>0</v>
      </c>
    </row>
    <row r="252" spans="1:9" ht="94.5" x14ac:dyDescent="0.45">
      <c r="A252" s="40" t="s">
        <v>286</v>
      </c>
      <c r="B252" s="39" t="s">
        <v>42</v>
      </c>
      <c r="C252" s="41"/>
      <c r="D252" s="30"/>
      <c r="E252" s="30" t="s">
        <v>44</v>
      </c>
      <c r="F252" s="8"/>
      <c r="G252" s="8"/>
      <c r="H252" s="7"/>
      <c r="I252" s="29">
        <f t="shared" si="11"/>
        <v>0</v>
      </c>
    </row>
    <row r="253" spans="1:9" ht="94.5" x14ac:dyDescent="0.45">
      <c r="A253" s="40" t="s">
        <v>287</v>
      </c>
      <c r="B253" s="39" t="s">
        <v>42</v>
      </c>
      <c r="C253" s="41"/>
      <c r="D253" s="30"/>
      <c r="E253" s="30" t="s">
        <v>44</v>
      </c>
      <c r="F253" s="8"/>
      <c r="G253" s="8"/>
      <c r="H253" s="7"/>
      <c r="I253" s="29">
        <f t="shared" si="11"/>
        <v>0</v>
      </c>
    </row>
    <row r="254" spans="1:9" ht="94.5" x14ac:dyDescent="0.45">
      <c r="A254" s="40" t="s">
        <v>288</v>
      </c>
      <c r="B254" s="39" t="s">
        <v>42</v>
      </c>
      <c r="C254" s="41"/>
      <c r="D254" s="30"/>
      <c r="E254" s="30" t="s">
        <v>44</v>
      </c>
      <c r="F254" s="8"/>
      <c r="G254" s="8"/>
      <c r="H254" s="7"/>
      <c r="I254" s="29">
        <f t="shared" si="11"/>
        <v>0</v>
      </c>
    </row>
    <row r="255" spans="1:9" ht="94.5" x14ac:dyDescent="0.45">
      <c r="A255" s="40" t="s">
        <v>289</v>
      </c>
      <c r="B255" s="39" t="s">
        <v>42</v>
      </c>
      <c r="C255" s="41"/>
      <c r="D255" s="30"/>
      <c r="E255" s="30" t="s">
        <v>44</v>
      </c>
      <c r="F255" s="8"/>
      <c r="G255" s="8"/>
      <c r="H255" s="7"/>
      <c r="I255" s="29">
        <f t="shared" si="11"/>
        <v>0</v>
      </c>
    </row>
    <row r="256" spans="1:9" ht="94.5" x14ac:dyDescent="0.45">
      <c r="A256" s="40" t="s">
        <v>290</v>
      </c>
      <c r="B256" s="39" t="s">
        <v>42</v>
      </c>
      <c r="C256" s="41"/>
      <c r="D256" s="30"/>
      <c r="E256" s="30" t="s">
        <v>44</v>
      </c>
      <c r="F256" s="8"/>
      <c r="G256" s="8"/>
      <c r="H256" s="7"/>
      <c r="I256" s="29">
        <f t="shared" si="11"/>
        <v>0</v>
      </c>
    </row>
    <row r="257" spans="1:9" ht="94.5" x14ac:dyDescent="0.45">
      <c r="A257" s="40" t="s">
        <v>291</v>
      </c>
      <c r="B257" s="39" t="s">
        <v>42</v>
      </c>
      <c r="C257" s="41"/>
      <c r="D257" s="30"/>
      <c r="E257" s="30" t="s">
        <v>44</v>
      </c>
      <c r="F257" s="8"/>
      <c r="G257" s="8"/>
      <c r="H257" s="7"/>
      <c r="I257" s="29">
        <f t="shared" si="11"/>
        <v>0</v>
      </c>
    </row>
    <row r="258" spans="1:9" ht="94.5" x14ac:dyDescent="0.45">
      <c r="A258" s="40" t="s">
        <v>292</v>
      </c>
      <c r="B258" s="39" t="s">
        <v>42</v>
      </c>
      <c r="C258" s="41"/>
      <c r="D258" s="30"/>
      <c r="E258" s="30" t="s">
        <v>44</v>
      </c>
      <c r="F258" s="8"/>
      <c r="G258" s="8"/>
      <c r="H258" s="7"/>
      <c r="I258" s="29">
        <f t="shared" si="11"/>
        <v>0</v>
      </c>
    </row>
    <row r="259" spans="1:9" ht="94.5" x14ac:dyDescent="0.45">
      <c r="A259" s="40" t="s">
        <v>293</v>
      </c>
      <c r="B259" s="39" t="s">
        <v>42</v>
      </c>
      <c r="C259" s="41"/>
      <c r="D259" s="30"/>
      <c r="E259" s="30" t="s">
        <v>44</v>
      </c>
      <c r="F259" s="8"/>
      <c r="G259" s="8"/>
      <c r="H259" s="7"/>
      <c r="I259" s="29">
        <f t="shared" si="11"/>
        <v>0</v>
      </c>
    </row>
    <row r="260" spans="1:9" ht="94.5" x14ac:dyDescent="0.45">
      <c r="A260" s="40" t="s">
        <v>294</v>
      </c>
      <c r="B260" s="39" t="s">
        <v>42</v>
      </c>
      <c r="C260" s="41"/>
      <c r="D260" s="30"/>
      <c r="E260" s="30" t="s">
        <v>44</v>
      </c>
      <c r="F260" s="8"/>
      <c r="G260" s="8"/>
      <c r="H260" s="7"/>
      <c r="I260" s="29">
        <f t="shared" si="11"/>
        <v>0</v>
      </c>
    </row>
    <row r="261" spans="1:9" ht="94.5" x14ac:dyDescent="0.45">
      <c r="A261" s="40" t="s">
        <v>295</v>
      </c>
      <c r="B261" s="39" t="s">
        <v>42</v>
      </c>
      <c r="C261" s="41"/>
      <c r="D261" s="30"/>
      <c r="E261" s="30" t="s">
        <v>44</v>
      </c>
      <c r="F261" s="8"/>
      <c r="G261" s="8"/>
      <c r="H261" s="7"/>
      <c r="I261" s="29">
        <f t="shared" si="11"/>
        <v>0</v>
      </c>
    </row>
    <row r="262" spans="1:9" ht="94.5" x14ac:dyDescent="0.45">
      <c r="A262" s="40" t="s">
        <v>296</v>
      </c>
      <c r="B262" s="39" t="s">
        <v>42</v>
      </c>
      <c r="C262" s="41"/>
      <c r="D262" s="30"/>
      <c r="E262" s="30" t="s">
        <v>44</v>
      </c>
      <c r="F262" s="8"/>
      <c r="G262" s="8"/>
      <c r="H262" s="7"/>
      <c r="I262" s="29">
        <f t="shared" si="11"/>
        <v>0</v>
      </c>
    </row>
    <row r="263" spans="1:9" ht="94.5" x14ac:dyDescent="0.45">
      <c r="A263" s="40" t="s">
        <v>297</v>
      </c>
      <c r="B263" s="39" t="s">
        <v>42</v>
      </c>
      <c r="C263" s="41"/>
      <c r="D263" s="30"/>
      <c r="E263" s="30" t="s">
        <v>44</v>
      </c>
      <c r="F263" s="8"/>
      <c r="G263" s="8"/>
      <c r="H263" s="7"/>
      <c r="I263" s="29">
        <f t="shared" si="11"/>
        <v>0</v>
      </c>
    </row>
    <row r="264" spans="1:9" ht="94.5" x14ac:dyDescent="0.45">
      <c r="A264" s="40" t="s">
        <v>298</v>
      </c>
      <c r="B264" s="39" t="s">
        <v>42</v>
      </c>
      <c r="C264" s="41"/>
      <c r="D264" s="30"/>
      <c r="E264" s="30" t="s">
        <v>44</v>
      </c>
      <c r="F264" s="8"/>
      <c r="G264" s="8"/>
      <c r="H264" s="7"/>
      <c r="I264" s="29">
        <f t="shared" si="11"/>
        <v>0</v>
      </c>
    </row>
    <row r="265" spans="1:9" ht="94.5" x14ac:dyDescent="0.45">
      <c r="A265" s="40" t="s">
        <v>299</v>
      </c>
      <c r="B265" s="39" t="s">
        <v>42</v>
      </c>
      <c r="C265" s="41"/>
      <c r="D265" s="30"/>
      <c r="E265" s="30" t="s">
        <v>44</v>
      </c>
      <c r="F265" s="8"/>
      <c r="G265" s="8"/>
      <c r="H265" s="7"/>
      <c r="I265" s="29">
        <f t="shared" si="11"/>
        <v>0</v>
      </c>
    </row>
    <row r="266" spans="1:9" ht="94.5" x14ac:dyDescent="0.45">
      <c r="A266" s="40" t="s">
        <v>300</v>
      </c>
      <c r="B266" s="39" t="s">
        <v>42</v>
      </c>
      <c r="C266" s="41"/>
      <c r="D266" s="30"/>
      <c r="E266" s="30" t="s">
        <v>44</v>
      </c>
      <c r="F266" s="8"/>
      <c r="G266" s="8"/>
      <c r="H266" s="7"/>
      <c r="I266" s="29">
        <f t="shared" si="11"/>
        <v>0</v>
      </c>
    </row>
    <row r="267" spans="1:9" ht="94.5" x14ac:dyDescent="0.45">
      <c r="A267" s="40" t="s">
        <v>301</v>
      </c>
      <c r="B267" s="39" t="s">
        <v>42</v>
      </c>
      <c r="C267" s="41"/>
      <c r="D267" s="30"/>
      <c r="E267" s="30" t="s">
        <v>44</v>
      </c>
      <c r="F267" s="8"/>
      <c r="G267" s="8"/>
      <c r="H267" s="7"/>
      <c r="I267" s="29">
        <f t="shared" si="11"/>
        <v>0</v>
      </c>
    </row>
    <row r="268" spans="1:9" ht="94.5" x14ac:dyDescent="0.45">
      <c r="A268" s="40" t="s">
        <v>302</v>
      </c>
      <c r="B268" s="39" t="s">
        <v>42</v>
      </c>
      <c r="C268" s="41"/>
      <c r="D268" s="30"/>
      <c r="E268" s="30" t="s">
        <v>44</v>
      </c>
      <c r="F268" s="8"/>
      <c r="G268" s="8"/>
      <c r="H268" s="7"/>
      <c r="I268" s="29">
        <f t="shared" si="11"/>
        <v>0</v>
      </c>
    </row>
    <row r="269" spans="1:9" ht="94.5" x14ac:dyDescent="0.45">
      <c r="A269" s="40" t="s">
        <v>303</v>
      </c>
      <c r="B269" s="39" t="s">
        <v>42</v>
      </c>
      <c r="C269" s="41"/>
      <c r="D269" s="30"/>
      <c r="E269" s="30" t="s">
        <v>44</v>
      </c>
      <c r="F269" s="8"/>
      <c r="G269" s="8"/>
      <c r="H269" s="7"/>
      <c r="I269" s="29">
        <f t="shared" si="11"/>
        <v>0</v>
      </c>
    </row>
    <row r="270" spans="1:9" ht="94.5" x14ac:dyDescent="0.45">
      <c r="A270" s="40" t="s">
        <v>304</v>
      </c>
      <c r="B270" s="39" t="s">
        <v>42</v>
      </c>
      <c r="C270" s="41"/>
      <c r="D270" s="30"/>
      <c r="E270" s="30" t="s">
        <v>44</v>
      </c>
      <c r="F270" s="8"/>
      <c r="G270" s="8"/>
      <c r="H270" s="7"/>
      <c r="I270" s="29">
        <f t="shared" si="11"/>
        <v>0</v>
      </c>
    </row>
    <row r="271" spans="1:9" ht="94.5" x14ac:dyDescent="0.45">
      <c r="A271" s="40" t="s">
        <v>305</v>
      </c>
      <c r="B271" s="39" t="s">
        <v>42</v>
      </c>
      <c r="C271" s="41"/>
      <c r="D271" s="30"/>
      <c r="E271" s="30" t="s">
        <v>44</v>
      </c>
      <c r="F271" s="8"/>
      <c r="G271" s="8"/>
      <c r="H271" s="7"/>
      <c r="I271" s="29">
        <f t="shared" si="11"/>
        <v>0</v>
      </c>
    </row>
    <row r="272" spans="1:9" ht="94.5" x14ac:dyDescent="0.45">
      <c r="A272" s="40" t="s">
        <v>306</v>
      </c>
      <c r="B272" s="39" t="s">
        <v>42</v>
      </c>
      <c r="C272" s="41"/>
      <c r="D272" s="30"/>
      <c r="E272" s="30" t="s">
        <v>44</v>
      </c>
      <c r="F272" s="8"/>
      <c r="G272" s="8"/>
      <c r="H272" s="7"/>
      <c r="I272" s="29">
        <f t="shared" si="11"/>
        <v>0</v>
      </c>
    </row>
    <row r="273" spans="1:9" ht="94.5" x14ac:dyDescent="0.45">
      <c r="A273" s="40" t="s">
        <v>307</v>
      </c>
      <c r="B273" s="39" t="s">
        <v>42</v>
      </c>
      <c r="C273" s="41"/>
      <c r="D273" s="30"/>
      <c r="E273" s="30" t="s">
        <v>44</v>
      </c>
      <c r="F273" s="8"/>
      <c r="G273" s="8"/>
      <c r="H273" s="7"/>
      <c r="I273" s="29">
        <f t="shared" si="11"/>
        <v>0</v>
      </c>
    </row>
    <row r="274" spans="1:9" ht="94.5" x14ac:dyDescent="0.45">
      <c r="A274" s="40" t="s">
        <v>308</v>
      </c>
      <c r="B274" s="39" t="s">
        <v>42</v>
      </c>
      <c r="C274" s="41"/>
      <c r="D274" s="30"/>
      <c r="E274" s="30" t="s">
        <v>44</v>
      </c>
      <c r="F274" s="8"/>
      <c r="G274" s="8"/>
      <c r="H274" s="7"/>
      <c r="I274" s="29">
        <f t="shared" si="11"/>
        <v>0</v>
      </c>
    </row>
    <row r="275" spans="1:9" ht="94.5" x14ac:dyDescent="0.45">
      <c r="A275" s="40" t="s">
        <v>309</v>
      </c>
      <c r="B275" s="39" t="s">
        <v>42</v>
      </c>
      <c r="C275" s="41"/>
      <c r="D275" s="30"/>
      <c r="E275" s="30" t="s">
        <v>44</v>
      </c>
      <c r="F275" s="8"/>
      <c r="G275" s="8"/>
      <c r="H275" s="7"/>
      <c r="I275" s="29">
        <f t="shared" si="11"/>
        <v>0</v>
      </c>
    </row>
    <row r="276" spans="1:9" ht="94.5" x14ac:dyDescent="0.45">
      <c r="A276" s="40" t="s">
        <v>310</v>
      </c>
      <c r="B276" s="39" t="s">
        <v>42</v>
      </c>
      <c r="C276" s="41"/>
      <c r="D276" s="30"/>
      <c r="E276" s="30" t="s">
        <v>44</v>
      </c>
      <c r="F276" s="8"/>
      <c r="G276" s="8"/>
      <c r="H276" s="7"/>
      <c r="I276" s="29">
        <f t="shared" si="11"/>
        <v>0</v>
      </c>
    </row>
    <row r="277" spans="1:9" ht="94.5" x14ac:dyDescent="0.45">
      <c r="A277" s="40" t="s">
        <v>311</v>
      </c>
      <c r="B277" s="39" t="s">
        <v>42</v>
      </c>
      <c r="C277" s="41"/>
      <c r="D277" s="30"/>
      <c r="E277" s="30" t="s">
        <v>44</v>
      </c>
      <c r="F277" s="8"/>
      <c r="G277" s="8"/>
      <c r="H277" s="7"/>
      <c r="I277" s="29">
        <f t="shared" si="11"/>
        <v>0</v>
      </c>
    </row>
    <row r="278" spans="1:9" ht="94.5" x14ac:dyDescent="0.45">
      <c r="A278" s="40" t="s">
        <v>312</v>
      </c>
      <c r="B278" s="39" t="s">
        <v>42</v>
      </c>
      <c r="C278" s="41"/>
      <c r="D278" s="30"/>
      <c r="E278" s="30" t="s">
        <v>44</v>
      </c>
      <c r="F278" s="8"/>
      <c r="G278" s="8"/>
      <c r="H278" s="7"/>
      <c r="I278" s="29">
        <f t="shared" si="11"/>
        <v>0</v>
      </c>
    </row>
    <row r="279" spans="1:9" ht="94.5" x14ac:dyDescent="0.45">
      <c r="A279" s="40" t="s">
        <v>313</v>
      </c>
      <c r="B279" s="39" t="s">
        <v>42</v>
      </c>
      <c r="C279" s="41"/>
      <c r="D279" s="30"/>
      <c r="E279" s="30" t="s">
        <v>44</v>
      </c>
      <c r="F279" s="8"/>
      <c r="G279" s="8"/>
      <c r="H279" s="7"/>
      <c r="I279" s="29">
        <f t="shared" si="11"/>
        <v>0</v>
      </c>
    </row>
    <row r="280" spans="1:9" ht="94.5" x14ac:dyDescent="0.45">
      <c r="A280" s="40" t="s">
        <v>314</v>
      </c>
      <c r="B280" s="39" t="s">
        <v>42</v>
      </c>
      <c r="C280" s="41"/>
      <c r="D280" s="30"/>
      <c r="E280" s="30" t="s">
        <v>44</v>
      </c>
      <c r="F280" s="8"/>
      <c r="G280" s="8"/>
      <c r="H280" s="7"/>
      <c r="I280" s="29">
        <f t="shared" si="11"/>
        <v>0</v>
      </c>
    </row>
    <row r="281" spans="1:9" ht="94.5" x14ac:dyDescent="0.45">
      <c r="A281" s="40" t="s">
        <v>315</v>
      </c>
      <c r="B281" s="39" t="s">
        <v>42</v>
      </c>
      <c r="C281" s="41"/>
      <c r="D281" s="30"/>
      <c r="E281" s="30" t="s">
        <v>44</v>
      </c>
      <c r="F281" s="8"/>
      <c r="G281" s="8"/>
      <c r="H281" s="7"/>
      <c r="I281" s="29">
        <f t="shared" si="11"/>
        <v>0</v>
      </c>
    </row>
    <row r="282" spans="1:9" ht="94.5" x14ac:dyDescent="0.45">
      <c r="A282" s="40" t="s">
        <v>316</v>
      </c>
      <c r="B282" s="39" t="s">
        <v>42</v>
      </c>
      <c r="C282" s="41"/>
      <c r="D282" s="30"/>
      <c r="E282" s="30" t="s">
        <v>44</v>
      </c>
      <c r="F282" s="8"/>
      <c r="G282" s="8"/>
      <c r="H282" s="7"/>
      <c r="I282" s="29">
        <f t="shared" si="11"/>
        <v>0</v>
      </c>
    </row>
    <row r="283" spans="1:9" ht="94.5" x14ac:dyDescent="0.45">
      <c r="A283" s="40" t="s">
        <v>317</v>
      </c>
      <c r="B283" s="39" t="s">
        <v>42</v>
      </c>
      <c r="C283" s="41"/>
      <c r="D283" s="30"/>
      <c r="E283" s="30" t="s">
        <v>44</v>
      </c>
      <c r="F283" s="8"/>
      <c r="G283" s="8"/>
      <c r="H283" s="7"/>
      <c r="I283" s="29">
        <f t="shared" si="11"/>
        <v>0</v>
      </c>
    </row>
    <row r="284" spans="1:9" ht="94.5" x14ac:dyDescent="0.45">
      <c r="A284" s="40" t="s">
        <v>318</v>
      </c>
      <c r="B284" s="39" t="s">
        <v>42</v>
      </c>
      <c r="C284" s="41"/>
      <c r="D284" s="30"/>
      <c r="E284" s="30" t="s">
        <v>44</v>
      </c>
      <c r="F284" s="8"/>
      <c r="G284" s="8"/>
      <c r="H284" s="7"/>
      <c r="I284" s="29">
        <f t="shared" si="11"/>
        <v>0</v>
      </c>
    </row>
    <row r="285" spans="1:9" ht="94.5" x14ac:dyDescent="0.45">
      <c r="A285" s="40" t="s">
        <v>319</v>
      </c>
      <c r="B285" s="39" t="s">
        <v>42</v>
      </c>
      <c r="C285" s="41"/>
      <c r="D285" s="30"/>
      <c r="E285" s="30" t="s">
        <v>44</v>
      </c>
      <c r="F285" s="8"/>
      <c r="G285" s="8"/>
      <c r="H285" s="7"/>
      <c r="I285" s="29">
        <f t="shared" si="11"/>
        <v>0</v>
      </c>
    </row>
    <row r="286" spans="1:9" ht="94.5" x14ac:dyDescent="0.45">
      <c r="A286" s="40" t="s">
        <v>320</v>
      </c>
      <c r="B286" s="39" t="s">
        <v>42</v>
      </c>
      <c r="C286" s="41"/>
      <c r="D286" s="30"/>
      <c r="E286" s="30" t="s">
        <v>44</v>
      </c>
      <c r="F286" s="8"/>
      <c r="G286" s="8"/>
      <c r="H286" s="7"/>
      <c r="I286" s="29">
        <f t="shared" si="11"/>
        <v>0</v>
      </c>
    </row>
    <row r="287" spans="1:9" ht="94.5" x14ac:dyDescent="0.45">
      <c r="A287" s="40" t="s">
        <v>321</v>
      </c>
      <c r="B287" s="39" t="s">
        <v>42</v>
      </c>
      <c r="C287" s="41"/>
      <c r="D287" s="30"/>
      <c r="E287" s="30" t="s">
        <v>44</v>
      </c>
      <c r="F287" s="8"/>
      <c r="G287" s="8"/>
      <c r="H287" s="7"/>
      <c r="I287" s="29">
        <f t="shared" si="11"/>
        <v>0</v>
      </c>
    </row>
    <row r="288" spans="1:9" ht="94.5" x14ac:dyDescent="0.45">
      <c r="A288" s="40" t="s">
        <v>322</v>
      </c>
      <c r="B288" s="39" t="s">
        <v>42</v>
      </c>
      <c r="C288" s="41"/>
      <c r="D288" s="30"/>
      <c r="E288" s="30" t="s">
        <v>44</v>
      </c>
      <c r="F288" s="8"/>
      <c r="G288" s="8"/>
      <c r="H288" s="7"/>
      <c r="I288" s="29">
        <f t="shared" si="11"/>
        <v>0</v>
      </c>
    </row>
    <row r="289" spans="1:9" ht="94.5" x14ac:dyDescent="0.45">
      <c r="A289" s="40" t="s">
        <v>323</v>
      </c>
      <c r="B289" s="39" t="s">
        <v>42</v>
      </c>
      <c r="C289" s="41"/>
      <c r="D289" s="30"/>
      <c r="E289" s="30" t="s">
        <v>44</v>
      </c>
      <c r="F289" s="8"/>
      <c r="G289" s="8"/>
      <c r="H289" s="7"/>
      <c r="I289" s="29">
        <f t="shared" ref="I289:I352" si="12">F289*H289</f>
        <v>0</v>
      </c>
    </row>
    <row r="290" spans="1:9" ht="94.5" x14ac:dyDescent="0.45">
      <c r="A290" s="40" t="s">
        <v>324</v>
      </c>
      <c r="B290" s="39" t="s">
        <v>42</v>
      </c>
      <c r="C290" s="41"/>
      <c r="D290" s="30"/>
      <c r="E290" s="30" t="s">
        <v>44</v>
      </c>
      <c r="F290" s="8"/>
      <c r="G290" s="8"/>
      <c r="H290" s="7"/>
      <c r="I290" s="29">
        <f t="shared" si="12"/>
        <v>0</v>
      </c>
    </row>
    <row r="291" spans="1:9" ht="94.5" x14ac:dyDescent="0.45">
      <c r="A291" s="40" t="s">
        <v>325</v>
      </c>
      <c r="B291" s="39" t="s">
        <v>42</v>
      </c>
      <c r="C291" s="41"/>
      <c r="D291" s="30"/>
      <c r="E291" s="30" t="s">
        <v>44</v>
      </c>
      <c r="F291" s="8"/>
      <c r="G291" s="8"/>
      <c r="H291" s="7"/>
      <c r="I291" s="29">
        <f t="shared" si="12"/>
        <v>0</v>
      </c>
    </row>
    <row r="292" spans="1:9" ht="94.5" x14ac:dyDescent="0.45">
      <c r="A292" s="40" t="s">
        <v>326</v>
      </c>
      <c r="B292" s="39" t="s">
        <v>42</v>
      </c>
      <c r="C292" s="41"/>
      <c r="D292" s="30"/>
      <c r="E292" s="30" t="s">
        <v>44</v>
      </c>
      <c r="F292" s="8"/>
      <c r="G292" s="8"/>
      <c r="H292" s="7"/>
      <c r="I292" s="29">
        <f t="shared" si="12"/>
        <v>0</v>
      </c>
    </row>
    <row r="293" spans="1:9" ht="94.5" x14ac:dyDescent="0.45">
      <c r="A293" s="40" t="s">
        <v>327</v>
      </c>
      <c r="B293" s="39" t="s">
        <v>42</v>
      </c>
      <c r="C293" s="41"/>
      <c r="D293" s="30"/>
      <c r="E293" s="30" t="s">
        <v>44</v>
      </c>
      <c r="F293" s="8"/>
      <c r="G293" s="8"/>
      <c r="H293" s="7"/>
      <c r="I293" s="29">
        <f t="shared" si="12"/>
        <v>0</v>
      </c>
    </row>
    <row r="294" spans="1:9" ht="94.5" x14ac:dyDescent="0.45">
      <c r="A294" s="40" t="s">
        <v>328</v>
      </c>
      <c r="B294" s="39" t="s">
        <v>42</v>
      </c>
      <c r="C294" s="41"/>
      <c r="D294" s="30"/>
      <c r="E294" s="30" t="s">
        <v>44</v>
      </c>
      <c r="F294" s="8"/>
      <c r="G294" s="8"/>
      <c r="H294" s="7"/>
      <c r="I294" s="29">
        <f t="shared" si="12"/>
        <v>0</v>
      </c>
    </row>
    <row r="295" spans="1:9" ht="94.5" x14ac:dyDescent="0.45">
      <c r="A295" s="40" t="s">
        <v>329</v>
      </c>
      <c r="B295" s="39" t="s">
        <v>42</v>
      </c>
      <c r="C295" s="41"/>
      <c r="D295" s="30"/>
      <c r="E295" s="30" t="s">
        <v>44</v>
      </c>
      <c r="F295" s="8"/>
      <c r="G295" s="8"/>
      <c r="H295" s="7"/>
      <c r="I295" s="29">
        <f t="shared" si="12"/>
        <v>0</v>
      </c>
    </row>
    <row r="296" spans="1:9" ht="94.5" x14ac:dyDescent="0.45">
      <c r="A296" s="40" t="s">
        <v>330</v>
      </c>
      <c r="B296" s="39" t="s">
        <v>42</v>
      </c>
      <c r="C296" s="41"/>
      <c r="D296" s="30"/>
      <c r="E296" s="30" t="s">
        <v>44</v>
      </c>
      <c r="F296" s="8"/>
      <c r="G296" s="8"/>
      <c r="H296" s="7"/>
      <c r="I296" s="29">
        <f t="shared" si="12"/>
        <v>0</v>
      </c>
    </row>
    <row r="297" spans="1:9" ht="94.5" x14ac:dyDescent="0.45">
      <c r="A297" s="40" t="s">
        <v>331</v>
      </c>
      <c r="B297" s="39" t="s">
        <v>42</v>
      </c>
      <c r="C297" s="41"/>
      <c r="D297" s="30"/>
      <c r="E297" s="30" t="s">
        <v>44</v>
      </c>
      <c r="F297" s="8"/>
      <c r="G297" s="8"/>
      <c r="H297" s="7"/>
      <c r="I297" s="29">
        <f t="shared" si="12"/>
        <v>0</v>
      </c>
    </row>
    <row r="298" spans="1:9" ht="94.5" x14ac:dyDescent="0.45">
      <c r="A298" s="40" t="s">
        <v>332</v>
      </c>
      <c r="B298" s="39" t="s">
        <v>42</v>
      </c>
      <c r="C298" s="41"/>
      <c r="D298" s="30"/>
      <c r="E298" s="30" t="s">
        <v>44</v>
      </c>
      <c r="F298" s="8"/>
      <c r="G298" s="8"/>
      <c r="H298" s="7"/>
      <c r="I298" s="29">
        <f t="shared" si="12"/>
        <v>0</v>
      </c>
    </row>
    <row r="299" spans="1:9" ht="94.5" x14ac:dyDescent="0.45">
      <c r="A299" s="40" t="s">
        <v>333</v>
      </c>
      <c r="B299" s="39" t="s">
        <v>42</v>
      </c>
      <c r="C299" s="41"/>
      <c r="D299" s="30"/>
      <c r="E299" s="30" t="s">
        <v>44</v>
      </c>
      <c r="F299" s="8"/>
      <c r="G299" s="8"/>
      <c r="H299" s="7"/>
      <c r="I299" s="29">
        <f t="shared" si="12"/>
        <v>0</v>
      </c>
    </row>
    <row r="300" spans="1:9" ht="94.5" x14ac:dyDescent="0.45">
      <c r="A300" s="40" t="s">
        <v>334</v>
      </c>
      <c r="B300" s="39" t="s">
        <v>42</v>
      </c>
      <c r="C300" s="41"/>
      <c r="D300" s="30"/>
      <c r="E300" s="30" t="s">
        <v>44</v>
      </c>
      <c r="F300" s="8"/>
      <c r="G300" s="8"/>
      <c r="H300" s="7"/>
      <c r="I300" s="29">
        <f t="shared" si="12"/>
        <v>0</v>
      </c>
    </row>
    <row r="301" spans="1:9" ht="94.5" x14ac:dyDescent="0.45">
      <c r="A301" s="40" t="s">
        <v>335</v>
      </c>
      <c r="B301" s="39" t="s">
        <v>42</v>
      </c>
      <c r="C301" s="41"/>
      <c r="D301" s="30"/>
      <c r="E301" s="30" t="s">
        <v>44</v>
      </c>
      <c r="F301" s="8"/>
      <c r="G301" s="8"/>
      <c r="H301" s="7"/>
      <c r="I301" s="29">
        <f t="shared" si="12"/>
        <v>0</v>
      </c>
    </row>
    <row r="302" spans="1:9" ht="94.5" x14ac:dyDescent="0.45">
      <c r="A302" s="40" t="s">
        <v>336</v>
      </c>
      <c r="B302" s="39" t="s">
        <v>42</v>
      </c>
      <c r="C302" s="41"/>
      <c r="D302" s="30"/>
      <c r="E302" s="30" t="s">
        <v>44</v>
      </c>
      <c r="F302" s="8"/>
      <c r="G302" s="8"/>
      <c r="H302" s="7"/>
      <c r="I302" s="29">
        <f t="shared" si="12"/>
        <v>0</v>
      </c>
    </row>
    <row r="303" spans="1:9" ht="94.5" x14ac:dyDescent="0.45">
      <c r="A303" s="40" t="s">
        <v>337</v>
      </c>
      <c r="B303" s="39" t="s">
        <v>42</v>
      </c>
      <c r="C303" s="41"/>
      <c r="D303" s="30"/>
      <c r="E303" s="30" t="s">
        <v>44</v>
      </c>
      <c r="F303" s="8"/>
      <c r="G303" s="8"/>
      <c r="H303" s="7"/>
      <c r="I303" s="29">
        <f t="shared" si="12"/>
        <v>0</v>
      </c>
    </row>
    <row r="304" spans="1:9" ht="94.5" x14ac:dyDescent="0.45">
      <c r="A304" s="40" t="s">
        <v>338</v>
      </c>
      <c r="B304" s="39" t="s">
        <v>42</v>
      </c>
      <c r="C304" s="41"/>
      <c r="D304" s="30"/>
      <c r="E304" s="30" t="s">
        <v>44</v>
      </c>
      <c r="F304" s="8"/>
      <c r="G304" s="8"/>
      <c r="H304" s="7"/>
      <c r="I304" s="29">
        <f t="shared" si="12"/>
        <v>0</v>
      </c>
    </row>
    <row r="305" spans="1:9" ht="94.5" x14ac:dyDescent="0.45">
      <c r="A305" s="40" t="s">
        <v>339</v>
      </c>
      <c r="B305" s="39" t="s">
        <v>42</v>
      </c>
      <c r="C305" s="41"/>
      <c r="D305" s="30"/>
      <c r="E305" s="30" t="s">
        <v>44</v>
      </c>
      <c r="F305" s="8"/>
      <c r="G305" s="8"/>
      <c r="H305" s="7"/>
      <c r="I305" s="29">
        <f t="shared" si="12"/>
        <v>0</v>
      </c>
    </row>
    <row r="306" spans="1:9" ht="94.5" x14ac:dyDescent="0.45">
      <c r="A306" s="40" t="s">
        <v>340</v>
      </c>
      <c r="B306" s="39" t="s">
        <v>42</v>
      </c>
      <c r="C306" s="41"/>
      <c r="D306" s="30"/>
      <c r="E306" s="30" t="s">
        <v>44</v>
      </c>
      <c r="F306" s="8"/>
      <c r="G306" s="8"/>
      <c r="H306" s="7"/>
      <c r="I306" s="29">
        <f t="shared" si="12"/>
        <v>0</v>
      </c>
    </row>
    <row r="307" spans="1:9" ht="94.5" x14ac:dyDescent="0.45">
      <c r="A307" s="40" t="s">
        <v>341</v>
      </c>
      <c r="B307" s="39" t="s">
        <v>42</v>
      </c>
      <c r="C307" s="41"/>
      <c r="D307" s="30"/>
      <c r="E307" s="30" t="s">
        <v>44</v>
      </c>
      <c r="F307" s="8"/>
      <c r="G307" s="8"/>
      <c r="H307" s="7"/>
      <c r="I307" s="29">
        <f t="shared" si="12"/>
        <v>0</v>
      </c>
    </row>
    <row r="308" spans="1:9" ht="94.5" x14ac:dyDescent="0.45">
      <c r="A308" s="40" t="s">
        <v>342</v>
      </c>
      <c r="B308" s="39" t="s">
        <v>42</v>
      </c>
      <c r="C308" s="41"/>
      <c r="D308" s="30"/>
      <c r="E308" s="30" t="s">
        <v>44</v>
      </c>
      <c r="F308" s="8"/>
      <c r="G308" s="8"/>
      <c r="H308" s="7"/>
      <c r="I308" s="29">
        <f t="shared" si="12"/>
        <v>0</v>
      </c>
    </row>
    <row r="309" spans="1:9" ht="94.5" x14ac:dyDescent="0.45">
      <c r="A309" s="40" t="s">
        <v>343</v>
      </c>
      <c r="B309" s="39" t="s">
        <v>42</v>
      </c>
      <c r="C309" s="41"/>
      <c r="D309" s="30"/>
      <c r="E309" s="30" t="s">
        <v>44</v>
      </c>
      <c r="F309" s="8"/>
      <c r="G309" s="8"/>
      <c r="H309" s="7"/>
      <c r="I309" s="29">
        <f t="shared" si="12"/>
        <v>0</v>
      </c>
    </row>
    <row r="310" spans="1:9" ht="94.5" x14ac:dyDescent="0.45">
      <c r="A310" s="40" t="s">
        <v>344</v>
      </c>
      <c r="B310" s="39" t="s">
        <v>42</v>
      </c>
      <c r="C310" s="41"/>
      <c r="D310" s="30"/>
      <c r="E310" s="30" t="s">
        <v>44</v>
      </c>
      <c r="F310" s="8"/>
      <c r="G310" s="8"/>
      <c r="H310" s="7"/>
      <c r="I310" s="29">
        <f t="shared" si="12"/>
        <v>0</v>
      </c>
    </row>
    <row r="311" spans="1:9" ht="94.5" x14ac:dyDescent="0.45">
      <c r="A311" s="40" t="s">
        <v>345</v>
      </c>
      <c r="B311" s="39" t="s">
        <v>42</v>
      </c>
      <c r="C311" s="41"/>
      <c r="D311" s="30"/>
      <c r="E311" s="30" t="s">
        <v>44</v>
      </c>
      <c r="F311" s="8"/>
      <c r="G311" s="8"/>
      <c r="H311" s="7"/>
      <c r="I311" s="29">
        <f t="shared" si="12"/>
        <v>0</v>
      </c>
    </row>
    <row r="312" spans="1:9" ht="94.5" x14ac:dyDescent="0.45">
      <c r="A312" s="40" t="s">
        <v>346</v>
      </c>
      <c r="B312" s="39" t="s">
        <v>42</v>
      </c>
      <c r="C312" s="41"/>
      <c r="D312" s="30"/>
      <c r="E312" s="30" t="s">
        <v>44</v>
      </c>
      <c r="F312" s="8"/>
      <c r="G312" s="8"/>
      <c r="H312" s="7"/>
      <c r="I312" s="29">
        <f t="shared" si="12"/>
        <v>0</v>
      </c>
    </row>
    <row r="313" spans="1:9" ht="94.5" x14ac:dyDescent="0.45">
      <c r="A313" s="40" t="s">
        <v>347</v>
      </c>
      <c r="B313" s="39" t="s">
        <v>42</v>
      </c>
      <c r="C313" s="41"/>
      <c r="D313" s="30"/>
      <c r="E313" s="30" t="s">
        <v>44</v>
      </c>
      <c r="F313" s="8"/>
      <c r="G313" s="8"/>
      <c r="H313" s="7"/>
      <c r="I313" s="29">
        <f t="shared" si="12"/>
        <v>0</v>
      </c>
    </row>
    <row r="314" spans="1:9" ht="94.5" x14ac:dyDescent="0.45">
      <c r="A314" s="40" t="s">
        <v>348</v>
      </c>
      <c r="B314" s="39" t="s">
        <v>42</v>
      </c>
      <c r="C314" s="41"/>
      <c r="D314" s="30"/>
      <c r="E314" s="30" t="s">
        <v>44</v>
      </c>
      <c r="F314" s="8"/>
      <c r="G314" s="8"/>
      <c r="H314" s="7"/>
      <c r="I314" s="29">
        <f t="shared" si="12"/>
        <v>0</v>
      </c>
    </row>
    <row r="315" spans="1:9" ht="94.5" x14ac:dyDescent="0.45">
      <c r="A315" s="40" t="s">
        <v>349</v>
      </c>
      <c r="B315" s="39" t="s">
        <v>42</v>
      </c>
      <c r="C315" s="41"/>
      <c r="D315" s="30"/>
      <c r="E315" s="30" t="s">
        <v>44</v>
      </c>
      <c r="F315" s="8"/>
      <c r="G315" s="8"/>
      <c r="H315" s="7"/>
      <c r="I315" s="29">
        <f t="shared" si="12"/>
        <v>0</v>
      </c>
    </row>
    <row r="316" spans="1:9" ht="94.5" x14ac:dyDescent="0.45">
      <c r="A316" s="40" t="s">
        <v>350</v>
      </c>
      <c r="B316" s="39" t="s">
        <v>42</v>
      </c>
      <c r="C316" s="41"/>
      <c r="D316" s="30"/>
      <c r="E316" s="30" t="s">
        <v>44</v>
      </c>
      <c r="F316" s="8"/>
      <c r="G316" s="8"/>
      <c r="H316" s="7"/>
      <c r="I316" s="29">
        <f t="shared" si="12"/>
        <v>0</v>
      </c>
    </row>
    <row r="317" spans="1:9" ht="94.5" x14ac:dyDescent="0.45">
      <c r="A317" s="40" t="s">
        <v>351</v>
      </c>
      <c r="B317" s="39" t="s">
        <v>42</v>
      </c>
      <c r="C317" s="41"/>
      <c r="D317" s="30"/>
      <c r="E317" s="30" t="s">
        <v>44</v>
      </c>
      <c r="F317" s="8"/>
      <c r="G317" s="8"/>
      <c r="H317" s="7"/>
      <c r="I317" s="29">
        <f t="shared" si="12"/>
        <v>0</v>
      </c>
    </row>
    <row r="318" spans="1:9" ht="94.5" x14ac:dyDescent="0.45">
      <c r="A318" s="40" t="s">
        <v>352</v>
      </c>
      <c r="B318" s="39" t="s">
        <v>42</v>
      </c>
      <c r="C318" s="41"/>
      <c r="D318" s="30"/>
      <c r="E318" s="30" t="s">
        <v>44</v>
      </c>
      <c r="F318" s="8"/>
      <c r="G318" s="8"/>
      <c r="H318" s="7"/>
      <c r="I318" s="29">
        <f t="shared" si="12"/>
        <v>0</v>
      </c>
    </row>
    <row r="319" spans="1:9" ht="94.5" x14ac:dyDescent="0.45">
      <c r="A319" s="40" t="s">
        <v>353</v>
      </c>
      <c r="B319" s="39" t="s">
        <v>42</v>
      </c>
      <c r="C319" s="41"/>
      <c r="D319" s="30"/>
      <c r="E319" s="30" t="s">
        <v>44</v>
      </c>
      <c r="F319" s="8"/>
      <c r="G319" s="8"/>
      <c r="H319" s="7"/>
      <c r="I319" s="29">
        <f t="shared" si="12"/>
        <v>0</v>
      </c>
    </row>
    <row r="320" spans="1:9" ht="94.5" x14ac:dyDescent="0.45">
      <c r="A320" s="40" t="s">
        <v>354</v>
      </c>
      <c r="B320" s="39" t="s">
        <v>42</v>
      </c>
      <c r="C320" s="41"/>
      <c r="D320" s="30"/>
      <c r="E320" s="30" t="s">
        <v>44</v>
      </c>
      <c r="F320" s="8"/>
      <c r="G320" s="8"/>
      <c r="H320" s="7"/>
      <c r="I320" s="29">
        <f t="shared" si="12"/>
        <v>0</v>
      </c>
    </row>
    <row r="321" spans="1:9" ht="94.5" x14ac:dyDescent="0.45">
      <c r="A321" s="40" t="s">
        <v>355</v>
      </c>
      <c r="B321" s="39" t="s">
        <v>42</v>
      </c>
      <c r="C321" s="41"/>
      <c r="D321" s="30"/>
      <c r="E321" s="30" t="s">
        <v>44</v>
      </c>
      <c r="F321" s="8"/>
      <c r="G321" s="8"/>
      <c r="H321" s="7"/>
      <c r="I321" s="29">
        <f t="shared" si="12"/>
        <v>0</v>
      </c>
    </row>
    <row r="322" spans="1:9" ht="94.5" x14ac:dyDescent="0.45">
      <c r="A322" s="40" t="s">
        <v>356</v>
      </c>
      <c r="B322" s="39" t="s">
        <v>42</v>
      </c>
      <c r="C322" s="41"/>
      <c r="D322" s="30"/>
      <c r="E322" s="30" t="s">
        <v>44</v>
      </c>
      <c r="F322" s="8"/>
      <c r="G322" s="8"/>
      <c r="H322" s="7"/>
      <c r="I322" s="29">
        <f t="shared" si="12"/>
        <v>0</v>
      </c>
    </row>
    <row r="323" spans="1:9" ht="94.5" x14ac:dyDescent="0.45">
      <c r="A323" s="40" t="s">
        <v>357</v>
      </c>
      <c r="B323" s="39" t="s">
        <v>42</v>
      </c>
      <c r="C323" s="41"/>
      <c r="D323" s="30"/>
      <c r="E323" s="30" t="s">
        <v>44</v>
      </c>
      <c r="F323" s="8"/>
      <c r="G323" s="8"/>
      <c r="H323" s="7"/>
      <c r="I323" s="29">
        <f t="shared" si="12"/>
        <v>0</v>
      </c>
    </row>
    <row r="324" spans="1:9" ht="94.5" x14ac:dyDescent="0.45">
      <c r="A324" s="40" t="s">
        <v>358</v>
      </c>
      <c r="B324" s="39" t="s">
        <v>42</v>
      </c>
      <c r="C324" s="41"/>
      <c r="D324" s="30"/>
      <c r="E324" s="30" t="s">
        <v>44</v>
      </c>
      <c r="F324" s="8"/>
      <c r="G324" s="8"/>
      <c r="H324" s="7"/>
      <c r="I324" s="29">
        <f t="shared" si="12"/>
        <v>0</v>
      </c>
    </row>
    <row r="325" spans="1:9" ht="94.5" x14ac:dyDescent="0.45">
      <c r="A325" s="40" t="s">
        <v>359</v>
      </c>
      <c r="B325" s="39" t="s">
        <v>42</v>
      </c>
      <c r="C325" s="41"/>
      <c r="D325" s="30"/>
      <c r="E325" s="30" t="s">
        <v>44</v>
      </c>
      <c r="F325" s="8"/>
      <c r="G325" s="8"/>
      <c r="H325" s="7"/>
      <c r="I325" s="29">
        <f t="shared" si="12"/>
        <v>0</v>
      </c>
    </row>
    <row r="326" spans="1:9" ht="94.5" x14ac:dyDescent="0.45">
      <c r="A326" s="40" t="s">
        <v>360</v>
      </c>
      <c r="B326" s="39" t="s">
        <v>42</v>
      </c>
      <c r="C326" s="41"/>
      <c r="D326" s="30"/>
      <c r="E326" s="30" t="s">
        <v>44</v>
      </c>
      <c r="F326" s="8"/>
      <c r="G326" s="8"/>
      <c r="H326" s="7"/>
      <c r="I326" s="29">
        <f t="shared" si="12"/>
        <v>0</v>
      </c>
    </row>
    <row r="327" spans="1:9" ht="94.5" x14ac:dyDescent="0.45">
      <c r="A327" s="40" t="s">
        <v>361</v>
      </c>
      <c r="B327" s="39" t="s">
        <v>42</v>
      </c>
      <c r="C327" s="41"/>
      <c r="D327" s="30"/>
      <c r="E327" s="30" t="s">
        <v>44</v>
      </c>
      <c r="F327" s="8"/>
      <c r="G327" s="8"/>
      <c r="H327" s="7"/>
      <c r="I327" s="29">
        <f t="shared" si="12"/>
        <v>0</v>
      </c>
    </row>
    <row r="328" spans="1:9" ht="94.5" x14ac:dyDescent="0.45">
      <c r="A328" s="40" t="s">
        <v>362</v>
      </c>
      <c r="B328" s="39" t="s">
        <v>42</v>
      </c>
      <c r="C328" s="41"/>
      <c r="D328" s="30"/>
      <c r="E328" s="30" t="s">
        <v>44</v>
      </c>
      <c r="F328" s="8"/>
      <c r="G328" s="8"/>
      <c r="H328" s="7"/>
      <c r="I328" s="29">
        <f t="shared" si="12"/>
        <v>0</v>
      </c>
    </row>
    <row r="329" spans="1:9" ht="94.5" x14ac:dyDescent="0.45">
      <c r="A329" s="40" t="s">
        <v>363</v>
      </c>
      <c r="B329" s="39" t="s">
        <v>42</v>
      </c>
      <c r="C329" s="41"/>
      <c r="D329" s="30"/>
      <c r="E329" s="30" t="s">
        <v>44</v>
      </c>
      <c r="F329" s="8"/>
      <c r="G329" s="8"/>
      <c r="H329" s="7"/>
      <c r="I329" s="29">
        <f t="shared" si="12"/>
        <v>0</v>
      </c>
    </row>
    <row r="330" spans="1:9" ht="94.5" x14ac:dyDescent="0.45">
      <c r="A330" s="40" t="s">
        <v>364</v>
      </c>
      <c r="B330" s="39" t="s">
        <v>42</v>
      </c>
      <c r="C330" s="41"/>
      <c r="D330" s="30"/>
      <c r="E330" s="30" t="s">
        <v>44</v>
      </c>
      <c r="F330" s="8"/>
      <c r="G330" s="8"/>
      <c r="H330" s="7"/>
      <c r="I330" s="29">
        <f t="shared" si="12"/>
        <v>0</v>
      </c>
    </row>
    <row r="331" spans="1:9" ht="94.5" x14ac:dyDescent="0.45">
      <c r="A331" s="40" t="s">
        <v>365</v>
      </c>
      <c r="B331" s="39" t="s">
        <v>42</v>
      </c>
      <c r="C331" s="41"/>
      <c r="D331" s="30"/>
      <c r="E331" s="30" t="s">
        <v>44</v>
      </c>
      <c r="F331" s="8"/>
      <c r="G331" s="8"/>
      <c r="H331" s="7"/>
      <c r="I331" s="29">
        <f t="shared" si="12"/>
        <v>0</v>
      </c>
    </row>
    <row r="332" spans="1:9" ht="94.5" x14ac:dyDescent="0.45">
      <c r="A332" s="40" t="s">
        <v>366</v>
      </c>
      <c r="B332" s="39" t="s">
        <v>42</v>
      </c>
      <c r="C332" s="41"/>
      <c r="D332" s="30"/>
      <c r="E332" s="30" t="s">
        <v>44</v>
      </c>
      <c r="F332" s="8"/>
      <c r="G332" s="8"/>
      <c r="H332" s="7"/>
      <c r="I332" s="29">
        <f t="shared" si="12"/>
        <v>0</v>
      </c>
    </row>
    <row r="333" spans="1:9" ht="94.5" x14ac:dyDescent="0.45">
      <c r="A333" s="40" t="s">
        <v>367</v>
      </c>
      <c r="B333" s="39" t="s">
        <v>42</v>
      </c>
      <c r="C333" s="41"/>
      <c r="D333" s="30"/>
      <c r="E333" s="30" t="s">
        <v>44</v>
      </c>
      <c r="F333" s="8"/>
      <c r="G333" s="8"/>
      <c r="H333" s="7"/>
      <c r="I333" s="29">
        <f t="shared" si="12"/>
        <v>0</v>
      </c>
    </row>
    <row r="334" spans="1:9" ht="94.5" x14ac:dyDescent="0.45">
      <c r="A334" s="40" t="s">
        <v>368</v>
      </c>
      <c r="B334" s="39" t="s">
        <v>42</v>
      </c>
      <c r="C334" s="41"/>
      <c r="D334" s="30"/>
      <c r="E334" s="30" t="s">
        <v>44</v>
      </c>
      <c r="F334" s="8"/>
      <c r="G334" s="8"/>
      <c r="H334" s="7"/>
      <c r="I334" s="29">
        <f t="shared" si="12"/>
        <v>0</v>
      </c>
    </row>
    <row r="335" spans="1:9" ht="94.5" x14ac:dyDescent="0.45">
      <c r="A335" s="40" t="s">
        <v>369</v>
      </c>
      <c r="B335" s="39" t="s">
        <v>42</v>
      </c>
      <c r="C335" s="41"/>
      <c r="D335" s="30"/>
      <c r="E335" s="30" t="s">
        <v>44</v>
      </c>
      <c r="F335" s="8"/>
      <c r="G335" s="8"/>
      <c r="H335" s="7"/>
      <c r="I335" s="29">
        <f t="shared" si="12"/>
        <v>0</v>
      </c>
    </row>
    <row r="336" spans="1:9" ht="94.5" x14ac:dyDescent="0.45">
      <c r="A336" s="40" t="s">
        <v>370</v>
      </c>
      <c r="B336" s="39" t="s">
        <v>42</v>
      </c>
      <c r="C336" s="41"/>
      <c r="D336" s="30"/>
      <c r="E336" s="30" t="s">
        <v>44</v>
      </c>
      <c r="F336" s="8"/>
      <c r="G336" s="8"/>
      <c r="H336" s="7"/>
      <c r="I336" s="29">
        <f t="shared" si="12"/>
        <v>0</v>
      </c>
    </row>
    <row r="337" spans="1:9" ht="94.5" x14ac:dyDescent="0.45">
      <c r="A337" s="40" t="s">
        <v>371</v>
      </c>
      <c r="B337" s="39" t="s">
        <v>42</v>
      </c>
      <c r="C337" s="41"/>
      <c r="D337" s="30"/>
      <c r="E337" s="30" t="s">
        <v>44</v>
      </c>
      <c r="F337" s="8"/>
      <c r="G337" s="8"/>
      <c r="H337" s="7"/>
      <c r="I337" s="29">
        <f t="shared" si="12"/>
        <v>0</v>
      </c>
    </row>
    <row r="338" spans="1:9" ht="94.5" x14ac:dyDescent="0.45">
      <c r="A338" s="40" t="s">
        <v>372</v>
      </c>
      <c r="B338" s="39" t="s">
        <v>42</v>
      </c>
      <c r="C338" s="41"/>
      <c r="D338" s="30"/>
      <c r="E338" s="30" t="s">
        <v>44</v>
      </c>
      <c r="F338" s="8"/>
      <c r="G338" s="8"/>
      <c r="H338" s="7"/>
      <c r="I338" s="29">
        <f t="shared" si="12"/>
        <v>0</v>
      </c>
    </row>
    <row r="339" spans="1:9" ht="94.5" x14ac:dyDescent="0.45">
      <c r="A339" s="40" t="s">
        <v>373</v>
      </c>
      <c r="B339" s="39" t="s">
        <v>42</v>
      </c>
      <c r="C339" s="41"/>
      <c r="D339" s="30"/>
      <c r="E339" s="30" t="s">
        <v>44</v>
      </c>
      <c r="F339" s="8"/>
      <c r="G339" s="8"/>
      <c r="H339" s="7"/>
      <c r="I339" s="29">
        <f t="shared" si="12"/>
        <v>0</v>
      </c>
    </row>
    <row r="340" spans="1:9" ht="94.5" x14ac:dyDescent="0.45">
      <c r="A340" s="40" t="s">
        <v>374</v>
      </c>
      <c r="B340" s="39" t="s">
        <v>42</v>
      </c>
      <c r="C340" s="41"/>
      <c r="D340" s="30"/>
      <c r="E340" s="30" t="s">
        <v>44</v>
      </c>
      <c r="F340" s="8"/>
      <c r="G340" s="8"/>
      <c r="H340" s="7"/>
      <c r="I340" s="29">
        <f t="shared" si="12"/>
        <v>0</v>
      </c>
    </row>
    <row r="341" spans="1:9" ht="94.5" x14ac:dyDescent="0.45">
      <c r="A341" s="40" t="s">
        <v>375</v>
      </c>
      <c r="B341" s="39" t="s">
        <v>42</v>
      </c>
      <c r="C341" s="41"/>
      <c r="D341" s="30"/>
      <c r="E341" s="30" t="s">
        <v>44</v>
      </c>
      <c r="F341" s="8"/>
      <c r="G341" s="8"/>
      <c r="H341" s="7"/>
      <c r="I341" s="29">
        <f t="shared" si="12"/>
        <v>0</v>
      </c>
    </row>
    <row r="342" spans="1:9" ht="94.5" x14ac:dyDescent="0.45">
      <c r="A342" s="40" t="s">
        <v>376</v>
      </c>
      <c r="B342" s="39" t="s">
        <v>42</v>
      </c>
      <c r="C342" s="41"/>
      <c r="D342" s="30"/>
      <c r="E342" s="30" t="s">
        <v>44</v>
      </c>
      <c r="F342" s="8"/>
      <c r="G342" s="8"/>
      <c r="H342" s="7"/>
      <c r="I342" s="29">
        <f t="shared" si="12"/>
        <v>0</v>
      </c>
    </row>
    <row r="343" spans="1:9" ht="94.5" x14ac:dyDescent="0.45">
      <c r="A343" s="40" t="s">
        <v>377</v>
      </c>
      <c r="B343" s="39" t="s">
        <v>42</v>
      </c>
      <c r="C343" s="41"/>
      <c r="D343" s="30"/>
      <c r="E343" s="30" t="s">
        <v>44</v>
      </c>
      <c r="F343" s="8"/>
      <c r="G343" s="8"/>
      <c r="H343" s="7"/>
      <c r="I343" s="29">
        <f t="shared" si="12"/>
        <v>0</v>
      </c>
    </row>
    <row r="344" spans="1:9" ht="94.5" x14ac:dyDescent="0.45">
      <c r="A344" s="40" t="s">
        <v>378</v>
      </c>
      <c r="B344" s="39" t="s">
        <v>42</v>
      </c>
      <c r="C344" s="41"/>
      <c r="D344" s="30"/>
      <c r="E344" s="30" t="s">
        <v>44</v>
      </c>
      <c r="F344" s="8"/>
      <c r="G344" s="8"/>
      <c r="H344" s="7"/>
      <c r="I344" s="29">
        <f t="shared" si="12"/>
        <v>0</v>
      </c>
    </row>
    <row r="345" spans="1:9" ht="94.5" x14ac:dyDescent="0.45">
      <c r="A345" s="40" t="s">
        <v>379</v>
      </c>
      <c r="B345" s="39" t="s">
        <v>42</v>
      </c>
      <c r="C345" s="41"/>
      <c r="D345" s="30"/>
      <c r="E345" s="30" t="s">
        <v>44</v>
      </c>
      <c r="F345" s="8"/>
      <c r="G345" s="8"/>
      <c r="H345" s="7"/>
      <c r="I345" s="29">
        <f t="shared" si="12"/>
        <v>0</v>
      </c>
    </row>
    <row r="346" spans="1:9" ht="94.5" x14ac:dyDescent="0.45">
      <c r="A346" s="40" t="s">
        <v>380</v>
      </c>
      <c r="B346" s="39" t="s">
        <v>42</v>
      </c>
      <c r="C346" s="41"/>
      <c r="D346" s="30"/>
      <c r="E346" s="30" t="s">
        <v>44</v>
      </c>
      <c r="F346" s="8"/>
      <c r="G346" s="8"/>
      <c r="H346" s="7"/>
      <c r="I346" s="29">
        <f t="shared" si="12"/>
        <v>0</v>
      </c>
    </row>
    <row r="347" spans="1:9" ht="94.5" x14ac:dyDescent="0.45">
      <c r="A347" s="40" t="s">
        <v>381</v>
      </c>
      <c r="B347" s="39" t="s">
        <v>42</v>
      </c>
      <c r="C347" s="41"/>
      <c r="D347" s="30"/>
      <c r="E347" s="30" t="s">
        <v>44</v>
      </c>
      <c r="F347" s="8"/>
      <c r="G347" s="8"/>
      <c r="H347" s="7"/>
      <c r="I347" s="29">
        <f t="shared" si="12"/>
        <v>0</v>
      </c>
    </row>
    <row r="348" spans="1:9" ht="94.5" x14ac:dyDescent="0.45">
      <c r="A348" s="40" t="s">
        <v>382</v>
      </c>
      <c r="B348" s="39" t="s">
        <v>42</v>
      </c>
      <c r="C348" s="41"/>
      <c r="D348" s="30"/>
      <c r="E348" s="30" t="s">
        <v>44</v>
      </c>
      <c r="F348" s="8"/>
      <c r="G348" s="8"/>
      <c r="H348" s="7"/>
      <c r="I348" s="29">
        <f t="shared" si="12"/>
        <v>0</v>
      </c>
    </row>
    <row r="349" spans="1:9" ht="94.5" x14ac:dyDescent="0.45">
      <c r="A349" s="40" t="s">
        <v>383</v>
      </c>
      <c r="B349" s="39" t="s">
        <v>42</v>
      </c>
      <c r="C349" s="41"/>
      <c r="D349" s="30"/>
      <c r="E349" s="30" t="s">
        <v>44</v>
      </c>
      <c r="F349" s="8"/>
      <c r="G349" s="8"/>
      <c r="H349" s="7"/>
      <c r="I349" s="29">
        <f t="shared" si="12"/>
        <v>0</v>
      </c>
    </row>
    <row r="350" spans="1:9" ht="94.5" x14ac:dyDescent="0.45">
      <c r="A350" s="40" t="s">
        <v>384</v>
      </c>
      <c r="B350" s="39" t="s">
        <v>42</v>
      </c>
      <c r="C350" s="41"/>
      <c r="D350" s="30"/>
      <c r="E350" s="30" t="s">
        <v>44</v>
      </c>
      <c r="F350" s="8"/>
      <c r="G350" s="8"/>
      <c r="H350" s="7"/>
      <c r="I350" s="29">
        <f t="shared" si="12"/>
        <v>0</v>
      </c>
    </row>
    <row r="351" spans="1:9" ht="94.5" x14ac:dyDescent="0.45">
      <c r="A351" s="40" t="s">
        <v>385</v>
      </c>
      <c r="B351" s="39" t="s">
        <v>42</v>
      </c>
      <c r="C351" s="41"/>
      <c r="D351" s="30"/>
      <c r="E351" s="30" t="s">
        <v>44</v>
      </c>
      <c r="F351" s="8"/>
      <c r="G351" s="8"/>
      <c r="H351" s="7"/>
      <c r="I351" s="29">
        <f t="shared" si="12"/>
        <v>0</v>
      </c>
    </row>
    <row r="352" spans="1:9" ht="94.5" x14ac:dyDescent="0.45">
      <c r="A352" s="40" t="s">
        <v>386</v>
      </c>
      <c r="B352" s="39" t="s">
        <v>42</v>
      </c>
      <c r="C352" s="41"/>
      <c r="D352" s="30"/>
      <c r="E352" s="30" t="s">
        <v>44</v>
      </c>
      <c r="F352" s="8"/>
      <c r="G352" s="8"/>
      <c r="H352" s="7"/>
      <c r="I352" s="29">
        <f t="shared" si="12"/>
        <v>0</v>
      </c>
    </row>
    <row r="353" spans="1:9" ht="94.5" x14ac:dyDescent="0.45">
      <c r="A353" s="40" t="s">
        <v>387</v>
      </c>
      <c r="B353" s="39" t="s">
        <v>42</v>
      </c>
      <c r="C353" s="41"/>
      <c r="D353" s="30"/>
      <c r="E353" s="30" t="s">
        <v>44</v>
      </c>
      <c r="F353" s="8"/>
      <c r="G353" s="8"/>
      <c r="H353" s="7"/>
      <c r="I353" s="29">
        <f t="shared" ref="I353:I416" si="13">F353*H353</f>
        <v>0</v>
      </c>
    </row>
    <row r="354" spans="1:9" ht="94.5" x14ac:dyDescent="0.45">
      <c r="A354" s="40" t="s">
        <v>388</v>
      </c>
      <c r="B354" s="39" t="s">
        <v>42</v>
      </c>
      <c r="C354" s="41"/>
      <c r="D354" s="30"/>
      <c r="E354" s="30" t="s">
        <v>44</v>
      </c>
      <c r="F354" s="8"/>
      <c r="G354" s="8"/>
      <c r="H354" s="7"/>
      <c r="I354" s="29">
        <f t="shared" si="13"/>
        <v>0</v>
      </c>
    </row>
    <row r="355" spans="1:9" ht="94.5" x14ac:dyDescent="0.45">
      <c r="A355" s="40" t="s">
        <v>389</v>
      </c>
      <c r="B355" s="39" t="s">
        <v>42</v>
      </c>
      <c r="C355" s="41"/>
      <c r="D355" s="30"/>
      <c r="E355" s="30" t="s">
        <v>44</v>
      </c>
      <c r="F355" s="8"/>
      <c r="G355" s="8"/>
      <c r="H355" s="7"/>
      <c r="I355" s="29">
        <f t="shared" si="13"/>
        <v>0</v>
      </c>
    </row>
    <row r="356" spans="1:9" ht="94.5" x14ac:dyDescent="0.45">
      <c r="A356" s="40" t="s">
        <v>390</v>
      </c>
      <c r="B356" s="39" t="s">
        <v>42</v>
      </c>
      <c r="C356" s="41"/>
      <c r="D356" s="30"/>
      <c r="E356" s="30" t="s">
        <v>44</v>
      </c>
      <c r="F356" s="8"/>
      <c r="G356" s="8"/>
      <c r="H356" s="7"/>
      <c r="I356" s="29">
        <f t="shared" si="13"/>
        <v>0</v>
      </c>
    </row>
    <row r="357" spans="1:9" ht="94.5" x14ac:dyDescent="0.45">
      <c r="A357" s="40" t="s">
        <v>391</v>
      </c>
      <c r="B357" s="39" t="s">
        <v>42</v>
      </c>
      <c r="C357" s="41"/>
      <c r="D357" s="30"/>
      <c r="E357" s="30" t="s">
        <v>44</v>
      </c>
      <c r="F357" s="8"/>
      <c r="G357" s="8"/>
      <c r="H357" s="7"/>
      <c r="I357" s="29">
        <f t="shared" si="13"/>
        <v>0</v>
      </c>
    </row>
    <row r="358" spans="1:9" ht="94.5" x14ac:dyDescent="0.45">
      <c r="A358" s="40" t="s">
        <v>392</v>
      </c>
      <c r="B358" s="39" t="s">
        <v>42</v>
      </c>
      <c r="C358" s="41"/>
      <c r="D358" s="30"/>
      <c r="E358" s="30" t="s">
        <v>44</v>
      </c>
      <c r="F358" s="8"/>
      <c r="G358" s="8"/>
      <c r="H358" s="7"/>
      <c r="I358" s="29">
        <f t="shared" si="13"/>
        <v>0</v>
      </c>
    </row>
    <row r="359" spans="1:9" ht="94.5" x14ac:dyDescent="0.45">
      <c r="A359" s="40" t="s">
        <v>393</v>
      </c>
      <c r="B359" s="39" t="s">
        <v>42</v>
      </c>
      <c r="C359" s="41"/>
      <c r="D359" s="30"/>
      <c r="E359" s="30" t="s">
        <v>44</v>
      </c>
      <c r="F359" s="8"/>
      <c r="G359" s="8"/>
      <c r="H359" s="7"/>
      <c r="I359" s="29">
        <f t="shared" si="13"/>
        <v>0</v>
      </c>
    </row>
    <row r="360" spans="1:9" ht="94.5" x14ac:dyDescent="0.45">
      <c r="A360" s="40" t="s">
        <v>394</v>
      </c>
      <c r="B360" s="39" t="s">
        <v>42</v>
      </c>
      <c r="C360" s="41"/>
      <c r="D360" s="30"/>
      <c r="E360" s="30" t="s">
        <v>44</v>
      </c>
      <c r="F360" s="8"/>
      <c r="G360" s="8"/>
      <c r="H360" s="7"/>
      <c r="I360" s="29">
        <f t="shared" si="13"/>
        <v>0</v>
      </c>
    </row>
    <row r="361" spans="1:9" ht="94.5" x14ac:dyDescent="0.45">
      <c r="A361" s="40" t="s">
        <v>395</v>
      </c>
      <c r="B361" s="39" t="s">
        <v>42</v>
      </c>
      <c r="C361" s="41"/>
      <c r="D361" s="30"/>
      <c r="E361" s="30" t="s">
        <v>44</v>
      </c>
      <c r="F361" s="8"/>
      <c r="G361" s="8"/>
      <c r="H361" s="7"/>
      <c r="I361" s="29">
        <f t="shared" si="13"/>
        <v>0</v>
      </c>
    </row>
    <row r="362" spans="1:9" ht="94.5" x14ac:dyDescent="0.45">
      <c r="A362" s="40" t="s">
        <v>396</v>
      </c>
      <c r="B362" s="39" t="s">
        <v>42</v>
      </c>
      <c r="C362" s="41"/>
      <c r="D362" s="30"/>
      <c r="E362" s="30" t="s">
        <v>44</v>
      </c>
      <c r="F362" s="8"/>
      <c r="G362" s="8"/>
      <c r="H362" s="7"/>
      <c r="I362" s="29">
        <f t="shared" si="13"/>
        <v>0</v>
      </c>
    </row>
    <row r="363" spans="1:9" ht="94.5" x14ac:dyDescent="0.45">
      <c r="A363" s="40" t="s">
        <v>397</v>
      </c>
      <c r="B363" s="39" t="s">
        <v>42</v>
      </c>
      <c r="C363" s="41"/>
      <c r="D363" s="30"/>
      <c r="E363" s="30" t="s">
        <v>44</v>
      </c>
      <c r="F363" s="8"/>
      <c r="G363" s="8"/>
      <c r="H363" s="7"/>
      <c r="I363" s="29">
        <f t="shared" si="13"/>
        <v>0</v>
      </c>
    </row>
    <row r="364" spans="1:9" ht="94.5" x14ac:dyDescent="0.45">
      <c r="A364" s="40" t="s">
        <v>398</v>
      </c>
      <c r="B364" s="39" t="s">
        <v>42</v>
      </c>
      <c r="C364" s="41"/>
      <c r="D364" s="30"/>
      <c r="E364" s="30" t="s">
        <v>44</v>
      </c>
      <c r="F364" s="8"/>
      <c r="G364" s="8"/>
      <c r="H364" s="7"/>
      <c r="I364" s="29">
        <f t="shared" si="13"/>
        <v>0</v>
      </c>
    </row>
    <row r="365" spans="1:9" ht="94.5" x14ac:dyDescent="0.45">
      <c r="A365" s="40" t="s">
        <v>399</v>
      </c>
      <c r="B365" s="39" t="s">
        <v>42</v>
      </c>
      <c r="C365" s="41"/>
      <c r="D365" s="30"/>
      <c r="E365" s="30" t="s">
        <v>44</v>
      </c>
      <c r="F365" s="8"/>
      <c r="G365" s="8"/>
      <c r="H365" s="7"/>
      <c r="I365" s="29">
        <f t="shared" si="13"/>
        <v>0</v>
      </c>
    </row>
    <row r="366" spans="1:9" ht="94.5" x14ac:dyDescent="0.45">
      <c r="A366" s="40" t="s">
        <v>400</v>
      </c>
      <c r="B366" s="39" t="s">
        <v>42</v>
      </c>
      <c r="C366" s="41"/>
      <c r="D366" s="30"/>
      <c r="E366" s="30" t="s">
        <v>44</v>
      </c>
      <c r="F366" s="8"/>
      <c r="G366" s="8"/>
      <c r="H366" s="7"/>
      <c r="I366" s="29">
        <f t="shared" si="13"/>
        <v>0</v>
      </c>
    </row>
    <row r="367" spans="1:9" ht="94.5" x14ac:dyDescent="0.45">
      <c r="A367" s="40" t="s">
        <v>401</v>
      </c>
      <c r="B367" s="39" t="s">
        <v>42</v>
      </c>
      <c r="C367" s="41"/>
      <c r="D367" s="30"/>
      <c r="E367" s="30" t="s">
        <v>44</v>
      </c>
      <c r="F367" s="8"/>
      <c r="G367" s="8"/>
      <c r="H367" s="7"/>
      <c r="I367" s="29">
        <f t="shared" si="13"/>
        <v>0</v>
      </c>
    </row>
    <row r="368" spans="1:9" ht="94.5" x14ac:dyDescent="0.45">
      <c r="A368" s="40" t="s">
        <v>402</v>
      </c>
      <c r="B368" s="39" t="s">
        <v>42</v>
      </c>
      <c r="C368" s="41"/>
      <c r="D368" s="30"/>
      <c r="E368" s="30" t="s">
        <v>44</v>
      </c>
      <c r="F368" s="8"/>
      <c r="G368" s="8"/>
      <c r="H368" s="7"/>
      <c r="I368" s="29">
        <f t="shared" si="13"/>
        <v>0</v>
      </c>
    </row>
    <row r="369" spans="1:9" ht="94.5" x14ac:dyDescent="0.45">
      <c r="A369" s="40" t="s">
        <v>403</v>
      </c>
      <c r="B369" s="39" t="s">
        <v>42</v>
      </c>
      <c r="C369" s="41"/>
      <c r="D369" s="30"/>
      <c r="E369" s="30" t="s">
        <v>44</v>
      </c>
      <c r="F369" s="8"/>
      <c r="G369" s="8"/>
      <c r="H369" s="7"/>
      <c r="I369" s="29">
        <f t="shared" si="13"/>
        <v>0</v>
      </c>
    </row>
    <row r="370" spans="1:9" ht="94.5" x14ac:dyDescent="0.45">
      <c r="A370" s="40" t="s">
        <v>404</v>
      </c>
      <c r="B370" s="39" t="s">
        <v>42</v>
      </c>
      <c r="C370" s="41"/>
      <c r="D370" s="30"/>
      <c r="E370" s="30" t="s">
        <v>44</v>
      </c>
      <c r="F370" s="8"/>
      <c r="G370" s="8"/>
      <c r="H370" s="7"/>
      <c r="I370" s="29">
        <f t="shared" si="13"/>
        <v>0</v>
      </c>
    </row>
    <row r="371" spans="1:9" ht="94.5" x14ac:dyDescent="0.45">
      <c r="A371" s="40" t="s">
        <v>405</v>
      </c>
      <c r="B371" s="39" t="s">
        <v>42</v>
      </c>
      <c r="C371" s="41"/>
      <c r="D371" s="30"/>
      <c r="E371" s="30" t="s">
        <v>44</v>
      </c>
      <c r="F371" s="8"/>
      <c r="G371" s="8"/>
      <c r="H371" s="7"/>
      <c r="I371" s="29">
        <f t="shared" si="13"/>
        <v>0</v>
      </c>
    </row>
    <row r="372" spans="1:9" ht="94.5" x14ac:dyDescent="0.45">
      <c r="A372" s="40" t="s">
        <v>406</v>
      </c>
      <c r="B372" s="39" t="s">
        <v>42</v>
      </c>
      <c r="C372" s="41"/>
      <c r="D372" s="30"/>
      <c r="E372" s="30" t="s">
        <v>44</v>
      </c>
      <c r="F372" s="8"/>
      <c r="G372" s="8"/>
      <c r="H372" s="7"/>
      <c r="I372" s="29">
        <f t="shared" si="13"/>
        <v>0</v>
      </c>
    </row>
    <row r="373" spans="1:9" ht="94.5" x14ac:dyDescent="0.45">
      <c r="A373" s="40" t="s">
        <v>407</v>
      </c>
      <c r="B373" s="39" t="s">
        <v>42</v>
      </c>
      <c r="C373" s="41"/>
      <c r="D373" s="30"/>
      <c r="E373" s="30" t="s">
        <v>44</v>
      </c>
      <c r="F373" s="8"/>
      <c r="G373" s="8"/>
      <c r="H373" s="7"/>
      <c r="I373" s="29">
        <f t="shared" si="13"/>
        <v>0</v>
      </c>
    </row>
    <row r="374" spans="1:9" ht="94.5" x14ac:dyDescent="0.45">
      <c r="A374" s="40" t="s">
        <v>408</v>
      </c>
      <c r="B374" s="39" t="s">
        <v>42</v>
      </c>
      <c r="C374" s="41"/>
      <c r="D374" s="30"/>
      <c r="E374" s="30" t="s">
        <v>44</v>
      </c>
      <c r="F374" s="8"/>
      <c r="G374" s="8"/>
      <c r="H374" s="7"/>
      <c r="I374" s="29">
        <f t="shared" si="13"/>
        <v>0</v>
      </c>
    </row>
    <row r="375" spans="1:9" ht="94.5" x14ac:dyDescent="0.45">
      <c r="A375" s="40" t="s">
        <v>409</v>
      </c>
      <c r="B375" s="39" t="s">
        <v>42</v>
      </c>
      <c r="C375" s="41"/>
      <c r="D375" s="30"/>
      <c r="E375" s="30" t="s">
        <v>44</v>
      </c>
      <c r="F375" s="8"/>
      <c r="G375" s="8"/>
      <c r="H375" s="7"/>
      <c r="I375" s="29">
        <f t="shared" si="13"/>
        <v>0</v>
      </c>
    </row>
    <row r="376" spans="1:9" ht="94.5" x14ac:dyDescent="0.45">
      <c r="A376" s="40" t="s">
        <v>410</v>
      </c>
      <c r="B376" s="39" t="s">
        <v>42</v>
      </c>
      <c r="C376" s="41"/>
      <c r="D376" s="30"/>
      <c r="E376" s="30" t="s">
        <v>44</v>
      </c>
      <c r="F376" s="8"/>
      <c r="G376" s="8"/>
      <c r="H376" s="7"/>
      <c r="I376" s="29">
        <f t="shared" si="13"/>
        <v>0</v>
      </c>
    </row>
    <row r="377" spans="1:9" ht="94.5" x14ac:dyDescent="0.45">
      <c r="A377" s="40" t="s">
        <v>411</v>
      </c>
      <c r="B377" s="39" t="s">
        <v>42</v>
      </c>
      <c r="C377" s="41"/>
      <c r="D377" s="30"/>
      <c r="E377" s="30" t="s">
        <v>44</v>
      </c>
      <c r="F377" s="8"/>
      <c r="G377" s="8"/>
      <c r="H377" s="7"/>
      <c r="I377" s="29">
        <f t="shared" si="13"/>
        <v>0</v>
      </c>
    </row>
    <row r="378" spans="1:9" ht="94.5" x14ac:dyDescent="0.45">
      <c r="A378" s="40" t="s">
        <v>412</v>
      </c>
      <c r="B378" s="39" t="s">
        <v>42</v>
      </c>
      <c r="C378" s="41"/>
      <c r="D378" s="30"/>
      <c r="E378" s="30" t="s">
        <v>44</v>
      </c>
      <c r="F378" s="8"/>
      <c r="G378" s="8"/>
      <c r="H378" s="7"/>
      <c r="I378" s="29">
        <f t="shared" si="13"/>
        <v>0</v>
      </c>
    </row>
    <row r="379" spans="1:9" ht="94.5" x14ac:dyDescent="0.45">
      <c r="A379" s="40" t="s">
        <v>413</v>
      </c>
      <c r="B379" s="39" t="s">
        <v>42</v>
      </c>
      <c r="C379" s="41"/>
      <c r="D379" s="30"/>
      <c r="E379" s="30" t="s">
        <v>44</v>
      </c>
      <c r="F379" s="8"/>
      <c r="G379" s="8"/>
      <c r="H379" s="7"/>
      <c r="I379" s="29">
        <f t="shared" si="13"/>
        <v>0</v>
      </c>
    </row>
    <row r="380" spans="1:9" ht="94.5" x14ac:dyDescent="0.45">
      <c r="A380" s="40" t="s">
        <v>414</v>
      </c>
      <c r="B380" s="39" t="s">
        <v>42</v>
      </c>
      <c r="C380" s="41"/>
      <c r="D380" s="30"/>
      <c r="E380" s="30" t="s">
        <v>44</v>
      </c>
      <c r="F380" s="8"/>
      <c r="G380" s="8"/>
      <c r="H380" s="7"/>
      <c r="I380" s="29">
        <f t="shared" si="13"/>
        <v>0</v>
      </c>
    </row>
    <row r="381" spans="1:9" ht="94.5" x14ac:dyDescent="0.45">
      <c r="A381" s="40" t="s">
        <v>415</v>
      </c>
      <c r="B381" s="39" t="s">
        <v>42</v>
      </c>
      <c r="C381" s="41"/>
      <c r="D381" s="30"/>
      <c r="E381" s="30" t="s">
        <v>44</v>
      </c>
      <c r="F381" s="8"/>
      <c r="G381" s="8"/>
      <c r="H381" s="7"/>
      <c r="I381" s="29">
        <f t="shared" si="13"/>
        <v>0</v>
      </c>
    </row>
    <row r="382" spans="1:9" ht="94.5" x14ac:dyDescent="0.45">
      <c r="A382" s="40" t="s">
        <v>416</v>
      </c>
      <c r="B382" s="39" t="s">
        <v>42</v>
      </c>
      <c r="C382" s="41"/>
      <c r="D382" s="30"/>
      <c r="E382" s="30" t="s">
        <v>44</v>
      </c>
      <c r="F382" s="8"/>
      <c r="G382" s="8"/>
      <c r="H382" s="7"/>
      <c r="I382" s="29">
        <f t="shared" si="13"/>
        <v>0</v>
      </c>
    </row>
    <row r="383" spans="1:9" ht="94.5" x14ac:dyDescent="0.45">
      <c r="A383" s="40" t="s">
        <v>417</v>
      </c>
      <c r="B383" s="39" t="s">
        <v>42</v>
      </c>
      <c r="C383" s="41"/>
      <c r="D383" s="30"/>
      <c r="E383" s="30" t="s">
        <v>44</v>
      </c>
      <c r="F383" s="8"/>
      <c r="G383" s="8"/>
      <c r="H383" s="7"/>
      <c r="I383" s="29">
        <f t="shared" si="13"/>
        <v>0</v>
      </c>
    </row>
    <row r="384" spans="1:9" ht="94.5" x14ac:dyDescent="0.45">
      <c r="A384" s="40" t="s">
        <v>418</v>
      </c>
      <c r="B384" s="39" t="s">
        <v>42</v>
      </c>
      <c r="C384" s="41"/>
      <c r="D384" s="30"/>
      <c r="E384" s="30" t="s">
        <v>44</v>
      </c>
      <c r="F384" s="8"/>
      <c r="G384" s="8"/>
      <c r="H384" s="7"/>
      <c r="I384" s="29">
        <f t="shared" si="13"/>
        <v>0</v>
      </c>
    </row>
    <row r="385" spans="1:9" ht="94.5" x14ac:dyDescent="0.45">
      <c r="A385" s="40" t="s">
        <v>419</v>
      </c>
      <c r="B385" s="39" t="s">
        <v>42</v>
      </c>
      <c r="C385" s="41"/>
      <c r="D385" s="30"/>
      <c r="E385" s="30" t="s">
        <v>44</v>
      </c>
      <c r="F385" s="8"/>
      <c r="G385" s="8"/>
      <c r="H385" s="7"/>
      <c r="I385" s="29">
        <f t="shared" si="13"/>
        <v>0</v>
      </c>
    </row>
    <row r="386" spans="1:9" ht="94.5" x14ac:dyDescent="0.45">
      <c r="A386" s="40" t="s">
        <v>420</v>
      </c>
      <c r="B386" s="39" t="s">
        <v>42</v>
      </c>
      <c r="C386" s="41"/>
      <c r="D386" s="30"/>
      <c r="E386" s="30" t="s">
        <v>44</v>
      </c>
      <c r="F386" s="8"/>
      <c r="G386" s="8"/>
      <c r="H386" s="7"/>
      <c r="I386" s="29">
        <f t="shared" si="13"/>
        <v>0</v>
      </c>
    </row>
    <row r="387" spans="1:9" ht="94.5" x14ac:dyDescent="0.45">
      <c r="A387" s="40" t="s">
        <v>421</v>
      </c>
      <c r="B387" s="39" t="s">
        <v>42</v>
      </c>
      <c r="C387" s="41"/>
      <c r="D387" s="30"/>
      <c r="E387" s="30" t="s">
        <v>44</v>
      </c>
      <c r="F387" s="8"/>
      <c r="G387" s="8"/>
      <c r="H387" s="7"/>
      <c r="I387" s="29">
        <f t="shared" si="13"/>
        <v>0</v>
      </c>
    </row>
    <row r="388" spans="1:9" ht="94.5" x14ac:dyDescent="0.45">
      <c r="A388" s="40" t="s">
        <v>422</v>
      </c>
      <c r="B388" s="39" t="s">
        <v>42</v>
      </c>
      <c r="C388" s="41"/>
      <c r="D388" s="30"/>
      <c r="E388" s="30" t="s">
        <v>44</v>
      </c>
      <c r="F388" s="8"/>
      <c r="G388" s="8"/>
      <c r="H388" s="7"/>
      <c r="I388" s="29">
        <f t="shared" si="13"/>
        <v>0</v>
      </c>
    </row>
    <row r="389" spans="1:9" ht="94.5" x14ac:dyDescent="0.45">
      <c r="A389" s="40" t="s">
        <v>423</v>
      </c>
      <c r="B389" s="39" t="s">
        <v>42</v>
      </c>
      <c r="C389" s="41"/>
      <c r="D389" s="30"/>
      <c r="E389" s="30" t="s">
        <v>44</v>
      </c>
      <c r="F389" s="8"/>
      <c r="G389" s="8"/>
      <c r="H389" s="7"/>
      <c r="I389" s="29">
        <f t="shared" si="13"/>
        <v>0</v>
      </c>
    </row>
    <row r="390" spans="1:9" ht="94.5" x14ac:dyDescent="0.45">
      <c r="A390" s="40" t="s">
        <v>424</v>
      </c>
      <c r="B390" s="39" t="s">
        <v>42</v>
      </c>
      <c r="C390" s="41"/>
      <c r="D390" s="30"/>
      <c r="E390" s="30" t="s">
        <v>44</v>
      </c>
      <c r="F390" s="8"/>
      <c r="G390" s="8"/>
      <c r="H390" s="7"/>
      <c r="I390" s="29">
        <f t="shared" si="13"/>
        <v>0</v>
      </c>
    </row>
    <row r="391" spans="1:9" ht="94.5" x14ac:dyDescent="0.45">
      <c r="A391" s="40" t="s">
        <v>425</v>
      </c>
      <c r="B391" s="39" t="s">
        <v>42</v>
      </c>
      <c r="C391" s="41"/>
      <c r="D391" s="30"/>
      <c r="E391" s="30" t="s">
        <v>44</v>
      </c>
      <c r="F391" s="8"/>
      <c r="G391" s="8"/>
      <c r="H391" s="7"/>
      <c r="I391" s="29">
        <f t="shared" si="13"/>
        <v>0</v>
      </c>
    </row>
    <row r="392" spans="1:9" ht="94.5" x14ac:dyDescent="0.45">
      <c r="A392" s="40" t="s">
        <v>426</v>
      </c>
      <c r="B392" s="39" t="s">
        <v>42</v>
      </c>
      <c r="C392" s="41"/>
      <c r="D392" s="30"/>
      <c r="E392" s="30" t="s">
        <v>44</v>
      </c>
      <c r="F392" s="8"/>
      <c r="G392" s="8"/>
      <c r="H392" s="7"/>
      <c r="I392" s="29">
        <f t="shared" si="13"/>
        <v>0</v>
      </c>
    </row>
    <row r="393" spans="1:9" ht="94.5" x14ac:dyDescent="0.45">
      <c r="A393" s="40" t="s">
        <v>427</v>
      </c>
      <c r="B393" s="39" t="s">
        <v>42</v>
      </c>
      <c r="C393" s="41"/>
      <c r="D393" s="30"/>
      <c r="E393" s="30" t="s">
        <v>44</v>
      </c>
      <c r="F393" s="8"/>
      <c r="G393" s="8"/>
      <c r="H393" s="7"/>
      <c r="I393" s="29">
        <f t="shared" si="13"/>
        <v>0</v>
      </c>
    </row>
    <row r="394" spans="1:9" ht="94.5" x14ac:dyDescent="0.45">
      <c r="A394" s="40" t="s">
        <v>428</v>
      </c>
      <c r="B394" s="39" t="s">
        <v>42</v>
      </c>
      <c r="C394" s="41"/>
      <c r="D394" s="30"/>
      <c r="E394" s="30" t="s">
        <v>44</v>
      </c>
      <c r="F394" s="8"/>
      <c r="G394" s="8"/>
      <c r="H394" s="7"/>
      <c r="I394" s="29">
        <f t="shared" si="13"/>
        <v>0</v>
      </c>
    </row>
    <row r="395" spans="1:9" ht="94.5" x14ac:dyDescent="0.45">
      <c r="A395" s="40" t="s">
        <v>429</v>
      </c>
      <c r="B395" s="39" t="s">
        <v>42</v>
      </c>
      <c r="C395" s="41"/>
      <c r="D395" s="30"/>
      <c r="E395" s="30" t="s">
        <v>44</v>
      </c>
      <c r="F395" s="8"/>
      <c r="G395" s="8"/>
      <c r="H395" s="7"/>
      <c r="I395" s="29">
        <f t="shared" si="13"/>
        <v>0</v>
      </c>
    </row>
    <row r="396" spans="1:9" ht="94.5" x14ac:dyDescent="0.45">
      <c r="A396" s="40" t="s">
        <v>430</v>
      </c>
      <c r="B396" s="39" t="s">
        <v>42</v>
      </c>
      <c r="C396" s="41"/>
      <c r="D396" s="30"/>
      <c r="E396" s="30" t="s">
        <v>44</v>
      </c>
      <c r="F396" s="8"/>
      <c r="G396" s="8"/>
      <c r="H396" s="7"/>
      <c r="I396" s="29">
        <f t="shared" si="13"/>
        <v>0</v>
      </c>
    </row>
    <row r="397" spans="1:9" ht="94.5" x14ac:dyDescent="0.45">
      <c r="A397" s="40" t="s">
        <v>431</v>
      </c>
      <c r="B397" s="39" t="s">
        <v>42</v>
      </c>
      <c r="C397" s="41"/>
      <c r="D397" s="30"/>
      <c r="E397" s="30" t="s">
        <v>44</v>
      </c>
      <c r="F397" s="8"/>
      <c r="G397" s="8"/>
      <c r="H397" s="7"/>
      <c r="I397" s="29">
        <f t="shared" si="13"/>
        <v>0</v>
      </c>
    </row>
    <row r="398" spans="1:9" ht="94.5" x14ac:dyDescent="0.45">
      <c r="A398" s="40" t="s">
        <v>432</v>
      </c>
      <c r="B398" s="39" t="s">
        <v>42</v>
      </c>
      <c r="C398" s="41"/>
      <c r="D398" s="30"/>
      <c r="E398" s="30" t="s">
        <v>44</v>
      </c>
      <c r="F398" s="8"/>
      <c r="G398" s="8"/>
      <c r="H398" s="7"/>
      <c r="I398" s="29">
        <f t="shared" si="13"/>
        <v>0</v>
      </c>
    </row>
    <row r="399" spans="1:9" ht="94.5" x14ac:dyDescent="0.45">
      <c r="A399" s="40" t="s">
        <v>433</v>
      </c>
      <c r="B399" s="39" t="s">
        <v>42</v>
      </c>
      <c r="C399" s="41"/>
      <c r="D399" s="30"/>
      <c r="E399" s="30" t="s">
        <v>44</v>
      </c>
      <c r="F399" s="8"/>
      <c r="G399" s="8"/>
      <c r="H399" s="7"/>
      <c r="I399" s="29">
        <f t="shared" si="13"/>
        <v>0</v>
      </c>
    </row>
    <row r="400" spans="1:9" ht="94.5" x14ac:dyDescent="0.45">
      <c r="A400" s="40" t="s">
        <v>434</v>
      </c>
      <c r="B400" s="39" t="s">
        <v>42</v>
      </c>
      <c r="C400" s="41"/>
      <c r="D400" s="30"/>
      <c r="E400" s="30" t="s">
        <v>44</v>
      </c>
      <c r="F400" s="8"/>
      <c r="G400" s="8"/>
      <c r="H400" s="7"/>
      <c r="I400" s="29">
        <f t="shared" si="13"/>
        <v>0</v>
      </c>
    </row>
    <row r="401" spans="1:9" ht="94.5" x14ac:dyDescent="0.45">
      <c r="A401" s="40" t="s">
        <v>435</v>
      </c>
      <c r="B401" s="39" t="s">
        <v>42</v>
      </c>
      <c r="C401" s="41"/>
      <c r="D401" s="30"/>
      <c r="E401" s="30" t="s">
        <v>44</v>
      </c>
      <c r="F401" s="8"/>
      <c r="G401" s="8"/>
      <c r="H401" s="7"/>
      <c r="I401" s="29">
        <f t="shared" si="13"/>
        <v>0</v>
      </c>
    </row>
    <row r="402" spans="1:9" ht="94.5" x14ac:dyDescent="0.45">
      <c r="A402" s="40" t="s">
        <v>436</v>
      </c>
      <c r="B402" s="39" t="s">
        <v>42</v>
      </c>
      <c r="C402" s="41"/>
      <c r="D402" s="30"/>
      <c r="E402" s="30" t="s">
        <v>44</v>
      </c>
      <c r="F402" s="8"/>
      <c r="G402" s="8"/>
      <c r="H402" s="7"/>
      <c r="I402" s="29">
        <f t="shared" si="13"/>
        <v>0</v>
      </c>
    </row>
    <row r="403" spans="1:9" ht="94.5" x14ac:dyDescent="0.45">
      <c r="A403" s="40" t="s">
        <v>437</v>
      </c>
      <c r="B403" s="39" t="s">
        <v>42</v>
      </c>
      <c r="C403" s="41"/>
      <c r="D403" s="30"/>
      <c r="E403" s="30" t="s">
        <v>44</v>
      </c>
      <c r="F403" s="8"/>
      <c r="G403" s="8"/>
      <c r="H403" s="7"/>
      <c r="I403" s="29">
        <f t="shared" si="13"/>
        <v>0</v>
      </c>
    </row>
    <row r="404" spans="1:9" ht="94.5" x14ac:dyDescent="0.45">
      <c r="A404" s="40" t="s">
        <v>438</v>
      </c>
      <c r="B404" s="39" t="s">
        <v>42</v>
      </c>
      <c r="C404" s="41"/>
      <c r="D404" s="30"/>
      <c r="E404" s="30" t="s">
        <v>44</v>
      </c>
      <c r="F404" s="8"/>
      <c r="G404" s="8"/>
      <c r="H404" s="7"/>
      <c r="I404" s="29">
        <f t="shared" si="13"/>
        <v>0</v>
      </c>
    </row>
    <row r="405" spans="1:9" ht="94.5" x14ac:dyDescent="0.45">
      <c r="A405" s="40" t="s">
        <v>439</v>
      </c>
      <c r="B405" s="39" t="s">
        <v>42</v>
      </c>
      <c r="C405" s="41"/>
      <c r="D405" s="30"/>
      <c r="E405" s="30" t="s">
        <v>44</v>
      </c>
      <c r="F405" s="8"/>
      <c r="G405" s="8"/>
      <c r="H405" s="7"/>
      <c r="I405" s="29">
        <f t="shared" si="13"/>
        <v>0</v>
      </c>
    </row>
    <row r="406" spans="1:9" ht="94.5" x14ac:dyDescent="0.45">
      <c r="A406" s="40" t="s">
        <v>440</v>
      </c>
      <c r="B406" s="39" t="s">
        <v>42</v>
      </c>
      <c r="C406" s="41"/>
      <c r="D406" s="30"/>
      <c r="E406" s="30" t="s">
        <v>44</v>
      </c>
      <c r="F406" s="8"/>
      <c r="G406" s="8"/>
      <c r="H406" s="7"/>
      <c r="I406" s="29">
        <f t="shared" si="13"/>
        <v>0</v>
      </c>
    </row>
    <row r="407" spans="1:9" ht="94.5" x14ac:dyDescent="0.45">
      <c r="A407" s="40" t="s">
        <v>441</v>
      </c>
      <c r="B407" s="39" t="s">
        <v>42</v>
      </c>
      <c r="C407" s="41"/>
      <c r="D407" s="30"/>
      <c r="E407" s="30" t="s">
        <v>44</v>
      </c>
      <c r="F407" s="8"/>
      <c r="G407" s="8"/>
      <c r="H407" s="7"/>
      <c r="I407" s="29">
        <f t="shared" si="13"/>
        <v>0</v>
      </c>
    </row>
    <row r="408" spans="1:9" ht="94.5" x14ac:dyDescent="0.45">
      <c r="A408" s="40" t="s">
        <v>442</v>
      </c>
      <c r="B408" s="39" t="s">
        <v>42</v>
      </c>
      <c r="C408" s="41"/>
      <c r="D408" s="30"/>
      <c r="E408" s="30" t="s">
        <v>44</v>
      </c>
      <c r="F408" s="8"/>
      <c r="G408" s="8"/>
      <c r="H408" s="7"/>
      <c r="I408" s="29">
        <f t="shared" si="13"/>
        <v>0</v>
      </c>
    </row>
    <row r="409" spans="1:9" ht="94.5" x14ac:dyDescent="0.45">
      <c r="A409" s="40" t="s">
        <v>443</v>
      </c>
      <c r="B409" s="39" t="s">
        <v>42</v>
      </c>
      <c r="C409" s="41"/>
      <c r="D409" s="30"/>
      <c r="E409" s="30" t="s">
        <v>44</v>
      </c>
      <c r="F409" s="8"/>
      <c r="G409" s="8"/>
      <c r="H409" s="7"/>
      <c r="I409" s="29">
        <f t="shared" si="13"/>
        <v>0</v>
      </c>
    </row>
    <row r="410" spans="1:9" ht="94.5" x14ac:dyDescent="0.45">
      <c r="A410" s="40" t="s">
        <v>444</v>
      </c>
      <c r="B410" s="39" t="s">
        <v>42</v>
      </c>
      <c r="C410" s="41"/>
      <c r="D410" s="30"/>
      <c r="E410" s="30" t="s">
        <v>44</v>
      </c>
      <c r="F410" s="8"/>
      <c r="G410" s="8"/>
      <c r="H410" s="7"/>
      <c r="I410" s="29">
        <f t="shared" si="13"/>
        <v>0</v>
      </c>
    </row>
    <row r="411" spans="1:9" ht="94.5" x14ac:dyDescent="0.45">
      <c r="A411" s="40" t="s">
        <v>445</v>
      </c>
      <c r="B411" s="39" t="s">
        <v>42</v>
      </c>
      <c r="C411" s="41"/>
      <c r="D411" s="30"/>
      <c r="E411" s="30" t="s">
        <v>44</v>
      </c>
      <c r="F411" s="8"/>
      <c r="G411" s="8"/>
      <c r="H411" s="7"/>
      <c r="I411" s="29">
        <f t="shared" si="13"/>
        <v>0</v>
      </c>
    </row>
    <row r="412" spans="1:9" ht="94.5" x14ac:dyDescent="0.45">
      <c r="A412" s="40" t="s">
        <v>446</v>
      </c>
      <c r="B412" s="39" t="s">
        <v>42</v>
      </c>
      <c r="C412" s="41"/>
      <c r="D412" s="30"/>
      <c r="E412" s="30" t="s">
        <v>44</v>
      </c>
      <c r="F412" s="8"/>
      <c r="G412" s="8"/>
      <c r="H412" s="7"/>
      <c r="I412" s="29">
        <f t="shared" si="13"/>
        <v>0</v>
      </c>
    </row>
    <row r="413" spans="1:9" ht="94.5" x14ac:dyDescent="0.45">
      <c r="A413" s="40" t="s">
        <v>447</v>
      </c>
      <c r="B413" s="39" t="s">
        <v>42</v>
      </c>
      <c r="C413" s="41"/>
      <c r="D413" s="30"/>
      <c r="E413" s="30" t="s">
        <v>44</v>
      </c>
      <c r="F413" s="8"/>
      <c r="G413" s="8"/>
      <c r="H413" s="7"/>
      <c r="I413" s="29">
        <f t="shared" si="13"/>
        <v>0</v>
      </c>
    </row>
    <row r="414" spans="1:9" ht="94.5" x14ac:dyDescent="0.45">
      <c r="A414" s="40" t="s">
        <v>448</v>
      </c>
      <c r="B414" s="39" t="s">
        <v>42</v>
      </c>
      <c r="C414" s="41"/>
      <c r="D414" s="30"/>
      <c r="E414" s="30" t="s">
        <v>44</v>
      </c>
      <c r="F414" s="8"/>
      <c r="G414" s="8"/>
      <c r="H414" s="7"/>
      <c r="I414" s="29">
        <f t="shared" si="13"/>
        <v>0</v>
      </c>
    </row>
    <row r="415" spans="1:9" ht="94.5" x14ac:dyDescent="0.45">
      <c r="A415" s="40" t="s">
        <v>449</v>
      </c>
      <c r="B415" s="39" t="s">
        <v>42</v>
      </c>
      <c r="C415" s="41"/>
      <c r="D415" s="30"/>
      <c r="E415" s="30" t="s">
        <v>44</v>
      </c>
      <c r="F415" s="8"/>
      <c r="G415" s="8"/>
      <c r="H415" s="7"/>
      <c r="I415" s="29">
        <f t="shared" si="13"/>
        <v>0</v>
      </c>
    </row>
    <row r="416" spans="1:9" ht="94.5" x14ac:dyDescent="0.45">
      <c r="A416" s="40" t="s">
        <v>450</v>
      </c>
      <c r="B416" s="39" t="s">
        <v>42</v>
      </c>
      <c r="C416" s="41"/>
      <c r="D416" s="30"/>
      <c r="E416" s="30" t="s">
        <v>44</v>
      </c>
      <c r="F416" s="8"/>
      <c r="G416" s="8"/>
      <c r="H416" s="7"/>
      <c r="I416" s="29">
        <f t="shared" si="13"/>
        <v>0</v>
      </c>
    </row>
    <row r="417" spans="1:9" ht="94.5" x14ac:dyDescent="0.45">
      <c r="A417" s="40" t="s">
        <v>451</v>
      </c>
      <c r="B417" s="39" t="s">
        <v>42</v>
      </c>
      <c r="C417" s="41"/>
      <c r="D417" s="30"/>
      <c r="E417" s="30" t="s">
        <v>44</v>
      </c>
      <c r="F417" s="8"/>
      <c r="G417" s="8"/>
      <c r="H417" s="7"/>
      <c r="I417" s="29">
        <f t="shared" ref="I417:I480" si="14">F417*H417</f>
        <v>0</v>
      </c>
    </row>
    <row r="418" spans="1:9" ht="94.5" x14ac:dyDescent="0.45">
      <c r="A418" s="40" t="s">
        <v>452</v>
      </c>
      <c r="B418" s="39" t="s">
        <v>42</v>
      </c>
      <c r="C418" s="41"/>
      <c r="D418" s="30"/>
      <c r="E418" s="30" t="s">
        <v>44</v>
      </c>
      <c r="F418" s="8"/>
      <c r="G418" s="8"/>
      <c r="H418" s="7"/>
      <c r="I418" s="29">
        <f t="shared" si="14"/>
        <v>0</v>
      </c>
    </row>
    <row r="419" spans="1:9" ht="94.5" x14ac:dyDescent="0.45">
      <c r="A419" s="40" t="s">
        <v>453</v>
      </c>
      <c r="B419" s="39" t="s">
        <v>42</v>
      </c>
      <c r="C419" s="41"/>
      <c r="D419" s="30"/>
      <c r="E419" s="30" t="s">
        <v>44</v>
      </c>
      <c r="F419" s="8"/>
      <c r="G419" s="8"/>
      <c r="H419" s="7"/>
      <c r="I419" s="29">
        <f t="shared" si="14"/>
        <v>0</v>
      </c>
    </row>
    <row r="420" spans="1:9" ht="94.5" x14ac:dyDescent="0.45">
      <c r="A420" s="40" t="s">
        <v>454</v>
      </c>
      <c r="B420" s="39" t="s">
        <v>42</v>
      </c>
      <c r="C420" s="41"/>
      <c r="D420" s="30"/>
      <c r="E420" s="30" t="s">
        <v>44</v>
      </c>
      <c r="F420" s="8"/>
      <c r="G420" s="8"/>
      <c r="H420" s="7"/>
      <c r="I420" s="29">
        <f t="shared" si="14"/>
        <v>0</v>
      </c>
    </row>
    <row r="421" spans="1:9" ht="94.5" x14ac:dyDescent="0.45">
      <c r="A421" s="40" t="s">
        <v>455</v>
      </c>
      <c r="B421" s="39" t="s">
        <v>42</v>
      </c>
      <c r="C421" s="41"/>
      <c r="D421" s="30"/>
      <c r="E421" s="30" t="s">
        <v>44</v>
      </c>
      <c r="F421" s="8"/>
      <c r="G421" s="8"/>
      <c r="H421" s="7"/>
      <c r="I421" s="29">
        <f t="shared" si="14"/>
        <v>0</v>
      </c>
    </row>
    <row r="422" spans="1:9" ht="94.5" x14ac:dyDescent="0.45">
      <c r="A422" s="40" t="s">
        <v>456</v>
      </c>
      <c r="B422" s="39" t="s">
        <v>42</v>
      </c>
      <c r="C422" s="41"/>
      <c r="D422" s="30"/>
      <c r="E422" s="30" t="s">
        <v>44</v>
      </c>
      <c r="F422" s="8"/>
      <c r="G422" s="8"/>
      <c r="H422" s="7"/>
      <c r="I422" s="29">
        <f t="shared" si="14"/>
        <v>0</v>
      </c>
    </row>
    <row r="423" spans="1:9" ht="94.5" x14ac:dyDescent="0.45">
      <c r="A423" s="40" t="s">
        <v>457</v>
      </c>
      <c r="B423" s="39" t="s">
        <v>42</v>
      </c>
      <c r="C423" s="41"/>
      <c r="D423" s="30"/>
      <c r="E423" s="30" t="s">
        <v>44</v>
      </c>
      <c r="F423" s="8"/>
      <c r="G423" s="8"/>
      <c r="H423" s="7"/>
      <c r="I423" s="29">
        <f t="shared" si="14"/>
        <v>0</v>
      </c>
    </row>
    <row r="424" spans="1:9" ht="94.5" x14ac:dyDescent="0.45">
      <c r="A424" s="40" t="s">
        <v>458</v>
      </c>
      <c r="B424" s="39" t="s">
        <v>42</v>
      </c>
      <c r="C424" s="41"/>
      <c r="D424" s="30"/>
      <c r="E424" s="30" t="s">
        <v>44</v>
      </c>
      <c r="F424" s="8"/>
      <c r="G424" s="8"/>
      <c r="H424" s="7"/>
      <c r="I424" s="29">
        <f t="shared" si="14"/>
        <v>0</v>
      </c>
    </row>
    <row r="425" spans="1:9" ht="94.5" x14ac:dyDescent="0.45">
      <c r="A425" s="40" t="s">
        <v>459</v>
      </c>
      <c r="B425" s="39" t="s">
        <v>42</v>
      </c>
      <c r="C425" s="41"/>
      <c r="D425" s="30"/>
      <c r="E425" s="30" t="s">
        <v>44</v>
      </c>
      <c r="F425" s="8"/>
      <c r="G425" s="8"/>
      <c r="H425" s="7"/>
      <c r="I425" s="29">
        <f t="shared" si="14"/>
        <v>0</v>
      </c>
    </row>
    <row r="426" spans="1:9" ht="94.5" x14ac:dyDescent="0.45">
      <c r="A426" s="40" t="s">
        <v>460</v>
      </c>
      <c r="B426" s="39" t="s">
        <v>42</v>
      </c>
      <c r="C426" s="41"/>
      <c r="D426" s="30"/>
      <c r="E426" s="30" t="s">
        <v>44</v>
      </c>
      <c r="F426" s="8"/>
      <c r="G426" s="8"/>
      <c r="H426" s="7"/>
      <c r="I426" s="29">
        <f t="shared" si="14"/>
        <v>0</v>
      </c>
    </row>
    <row r="427" spans="1:9" ht="94.5" x14ac:dyDescent="0.45">
      <c r="A427" s="40" t="s">
        <v>461</v>
      </c>
      <c r="B427" s="39" t="s">
        <v>42</v>
      </c>
      <c r="C427" s="41"/>
      <c r="D427" s="30"/>
      <c r="E427" s="30" t="s">
        <v>44</v>
      </c>
      <c r="F427" s="8"/>
      <c r="G427" s="8"/>
      <c r="H427" s="7"/>
      <c r="I427" s="29">
        <f t="shared" si="14"/>
        <v>0</v>
      </c>
    </row>
    <row r="428" spans="1:9" ht="94.5" x14ac:dyDescent="0.45">
      <c r="A428" s="40" t="s">
        <v>462</v>
      </c>
      <c r="B428" s="39" t="s">
        <v>42</v>
      </c>
      <c r="C428" s="41"/>
      <c r="D428" s="30"/>
      <c r="E428" s="30" t="s">
        <v>44</v>
      </c>
      <c r="F428" s="8"/>
      <c r="G428" s="8"/>
      <c r="H428" s="7"/>
      <c r="I428" s="29">
        <f t="shared" si="14"/>
        <v>0</v>
      </c>
    </row>
    <row r="429" spans="1:9" ht="94.5" x14ac:dyDescent="0.45">
      <c r="A429" s="40" t="s">
        <v>463</v>
      </c>
      <c r="B429" s="39" t="s">
        <v>42</v>
      </c>
      <c r="C429" s="41"/>
      <c r="D429" s="30"/>
      <c r="E429" s="30" t="s">
        <v>44</v>
      </c>
      <c r="F429" s="8"/>
      <c r="G429" s="8"/>
      <c r="H429" s="7"/>
      <c r="I429" s="29">
        <f t="shared" si="14"/>
        <v>0</v>
      </c>
    </row>
    <row r="430" spans="1:9" ht="94.5" x14ac:dyDescent="0.45">
      <c r="A430" s="40" t="s">
        <v>464</v>
      </c>
      <c r="B430" s="39" t="s">
        <v>42</v>
      </c>
      <c r="C430" s="41"/>
      <c r="D430" s="30"/>
      <c r="E430" s="30" t="s">
        <v>44</v>
      </c>
      <c r="F430" s="8"/>
      <c r="G430" s="8"/>
      <c r="H430" s="7"/>
      <c r="I430" s="29">
        <f t="shared" si="14"/>
        <v>0</v>
      </c>
    </row>
    <row r="431" spans="1:9" ht="94.5" x14ac:dyDescent="0.45">
      <c r="A431" s="40" t="s">
        <v>465</v>
      </c>
      <c r="B431" s="39" t="s">
        <v>42</v>
      </c>
      <c r="C431" s="41"/>
      <c r="D431" s="30"/>
      <c r="E431" s="30" t="s">
        <v>44</v>
      </c>
      <c r="F431" s="8"/>
      <c r="G431" s="8"/>
      <c r="H431" s="7"/>
      <c r="I431" s="29">
        <f t="shared" si="14"/>
        <v>0</v>
      </c>
    </row>
    <row r="432" spans="1:9" ht="94.5" x14ac:dyDescent="0.45">
      <c r="A432" s="40" t="s">
        <v>466</v>
      </c>
      <c r="B432" s="39" t="s">
        <v>42</v>
      </c>
      <c r="C432" s="41"/>
      <c r="D432" s="30"/>
      <c r="E432" s="30" t="s">
        <v>44</v>
      </c>
      <c r="F432" s="8"/>
      <c r="G432" s="8"/>
      <c r="H432" s="7"/>
      <c r="I432" s="29">
        <f t="shared" si="14"/>
        <v>0</v>
      </c>
    </row>
    <row r="433" spans="1:9" ht="94.5" x14ac:dyDescent="0.45">
      <c r="A433" s="40" t="s">
        <v>467</v>
      </c>
      <c r="B433" s="39" t="s">
        <v>42</v>
      </c>
      <c r="C433" s="41"/>
      <c r="D433" s="30"/>
      <c r="E433" s="30" t="s">
        <v>44</v>
      </c>
      <c r="F433" s="8"/>
      <c r="G433" s="8"/>
      <c r="H433" s="7"/>
      <c r="I433" s="29">
        <f t="shared" si="14"/>
        <v>0</v>
      </c>
    </row>
    <row r="434" spans="1:9" ht="94.5" x14ac:dyDescent="0.45">
      <c r="A434" s="40" t="s">
        <v>468</v>
      </c>
      <c r="B434" s="39" t="s">
        <v>42</v>
      </c>
      <c r="C434" s="41"/>
      <c r="D434" s="30"/>
      <c r="E434" s="30" t="s">
        <v>44</v>
      </c>
      <c r="F434" s="8"/>
      <c r="G434" s="8"/>
      <c r="H434" s="7"/>
      <c r="I434" s="29">
        <f t="shared" si="14"/>
        <v>0</v>
      </c>
    </row>
    <row r="435" spans="1:9" ht="94.5" x14ac:dyDescent="0.45">
      <c r="A435" s="40" t="s">
        <v>469</v>
      </c>
      <c r="B435" s="39" t="s">
        <v>42</v>
      </c>
      <c r="C435" s="41"/>
      <c r="D435" s="30"/>
      <c r="E435" s="30" t="s">
        <v>44</v>
      </c>
      <c r="F435" s="8"/>
      <c r="G435" s="8"/>
      <c r="H435" s="7"/>
      <c r="I435" s="29">
        <f t="shared" si="14"/>
        <v>0</v>
      </c>
    </row>
    <row r="436" spans="1:9" ht="94.5" x14ac:dyDescent="0.45">
      <c r="A436" s="40" t="s">
        <v>470</v>
      </c>
      <c r="B436" s="39" t="s">
        <v>42</v>
      </c>
      <c r="C436" s="41"/>
      <c r="D436" s="30"/>
      <c r="E436" s="30" t="s">
        <v>44</v>
      </c>
      <c r="F436" s="8"/>
      <c r="G436" s="8"/>
      <c r="H436" s="7"/>
      <c r="I436" s="29">
        <f t="shared" si="14"/>
        <v>0</v>
      </c>
    </row>
    <row r="437" spans="1:9" ht="94.5" x14ac:dyDescent="0.45">
      <c r="A437" s="40" t="s">
        <v>471</v>
      </c>
      <c r="B437" s="39" t="s">
        <v>42</v>
      </c>
      <c r="C437" s="41"/>
      <c r="D437" s="30"/>
      <c r="E437" s="30" t="s">
        <v>44</v>
      </c>
      <c r="F437" s="8"/>
      <c r="G437" s="8"/>
      <c r="H437" s="7"/>
      <c r="I437" s="29">
        <f t="shared" si="14"/>
        <v>0</v>
      </c>
    </row>
    <row r="438" spans="1:9" ht="94.5" x14ac:dyDescent="0.45">
      <c r="A438" s="40" t="s">
        <v>472</v>
      </c>
      <c r="B438" s="39" t="s">
        <v>42</v>
      </c>
      <c r="C438" s="41"/>
      <c r="D438" s="30"/>
      <c r="E438" s="30" t="s">
        <v>44</v>
      </c>
      <c r="F438" s="8"/>
      <c r="G438" s="8"/>
      <c r="H438" s="7"/>
      <c r="I438" s="29">
        <f t="shared" si="14"/>
        <v>0</v>
      </c>
    </row>
    <row r="439" spans="1:9" ht="94.5" x14ac:dyDescent="0.45">
      <c r="A439" s="40" t="s">
        <v>473</v>
      </c>
      <c r="B439" s="39" t="s">
        <v>42</v>
      </c>
      <c r="C439" s="41"/>
      <c r="D439" s="30"/>
      <c r="E439" s="30" t="s">
        <v>44</v>
      </c>
      <c r="F439" s="8"/>
      <c r="G439" s="8"/>
      <c r="H439" s="7"/>
      <c r="I439" s="29">
        <f t="shared" si="14"/>
        <v>0</v>
      </c>
    </row>
    <row r="440" spans="1:9" ht="94.5" x14ac:dyDescent="0.45">
      <c r="A440" s="40" t="s">
        <v>474</v>
      </c>
      <c r="B440" s="39" t="s">
        <v>42</v>
      </c>
      <c r="C440" s="41"/>
      <c r="D440" s="30"/>
      <c r="E440" s="30" t="s">
        <v>44</v>
      </c>
      <c r="F440" s="8"/>
      <c r="G440" s="8"/>
      <c r="H440" s="7"/>
      <c r="I440" s="29">
        <f t="shared" si="14"/>
        <v>0</v>
      </c>
    </row>
    <row r="441" spans="1:9" ht="94.5" x14ac:dyDescent="0.45">
      <c r="A441" s="40" t="s">
        <v>475</v>
      </c>
      <c r="B441" s="39" t="s">
        <v>42</v>
      </c>
      <c r="C441" s="41"/>
      <c r="D441" s="30"/>
      <c r="E441" s="30" t="s">
        <v>44</v>
      </c>
      <c r="F441" s="8"/>
      <c r="G441" s="8"/>
      <c r="H441" s="7"/>
      <c r="I441" s="29">
        <f t="shared" si="14"/>
        <v>0</v>
      </c>
    </row>
    <row r="442" spans="1:9" ht="94.5" x14ac:dyDescent="0.45">
      <c r="A442" s="40" t="s">
        <v>476</v>
      </c>
      <c r="B442" s="39" t="s">
        <v>42</v>
      </c>
      <c r="C442" s="41"/>
      <c r="D442" s="30"/>
      <c r="E442" s="30" t="s">
        <v>44</v>
      </c>
      <c r="F442" s="8"/>
      <c r="G442" s="8"/>
      <c r="H442" s="7"/>
      <c r="I442" s="29">
        <f t="shared" si="14"/>
        <v>0</v>
      </c>
    </row>
    <row r="443" spans="1:9" ht="94.5" x14ac:dyDescent="0.45">
      <c r="A443" s="40" t="s">
        <v>477</v>
      </c>
      <c r="B443" s="39" t="s">
        <v>42</v>
      </c>
      <c r="C443" s="41"/>
      <c r="D443" s="30"/>
      <c r="E443" s="30" t="s">
        <v>44</v>
      </c>
      <c r="F443" s="8"/>
      <c r="G443" s="8"/>
      <c r="H443" s="7"/>
      <c r="I443" s="29">
        <f t="shared" si="14"/>
        <v>0</v>
      </c>
    </row>
    <row r="444" spans="1:9" ht="94.5" x14ac:dyDescent="0.45">
      <c r="A444" s="40" t="s">
        <v>478</v>
      </c>
      <c r="B444" s="39" t="s">
        <v>42</v>
      </c>
      <c r="C444" s="41"/>
      <c r="D444" s="30"/>
      <c r="E444" s="30" t="s">
        <v>44</v>
      </c>
      <c r="F444" s="8"/>
      <c r="G444" s="8"/>
      <c r="H444" s="7"/>
      <c r="I444" s="29">
        <f t="shared" si="14"/>
        <v>0</v>
      </c>
    </row>
    <row r="445" spans="1:9" ht="94.5" x14ac:dyDescent="0.45">
      <c r="A445" s="40" t="s">
        <v>479</v>
      </c>
      <c r="B445" s="39" t="s">
        <v>42</v>
      </c>
      <c r="C445" s="41"/>
      <c r="D445" s="30"/>
      <c r="E445" s="30" t="s">
        <v>44</v>
      </c>
      <c r="F445" s="8"/>
      <c r="G445" s="8"/>
      <c r="H445" s="7"/>
      <c r="I445" s="29">
        <f t="shared" si="14"/>
        <v>0</v>
      </c>
    </row>
    <row r="446" spans="1:9" ht="94.5" x14ac:dyDescent="0.45">
      <c r="A446" s="40" t="s">
        <v>480</v>
      </c>
      <c r="B446" s="39" t="s">
        <v>42</v>
      </c>
      <c r="C446" s="41"/>
      <c r="D446" s="30"/>
      <c r="E446" s="30" t="s">
        <v>44</v>
      </c>
      <c r="F446" s="8"/>
      <c r="G446" s="8"/>
      <c r="H446" s="7"/>
      <c r="I446" s="29">
        <f t="shared" si="14"/>
        <v>0</v>
      </c>
    </row>
    <row r="447" spans="1:9" ht="94.5" x14ac:dyDescent="0.45">
      <c r="A447" s="40" t="s">
        <v>481</v>
      </c>
      <c r="B447" s="39" t="s">
        <v>42</v>
      </c>
      <c r="C447" s="41"/>
      <c r="D447" s="30"/>
      <c r="E447" s="30" t="s">
        <v>44</v>
      </c>
      <c r="F447" s="8"/>
      <c r="G447" s="8"/>
      <c r="H447" s="7"/>
      <c r="I447" s="29">
        <f t="shared" si="14"/>
        <v>0</v>
      </c>
    </row>
    <row r="448" spans="1:9" ht="94.5" x14ac:dyDescent="0.45">
      <c r="A448" s="40" t="s">
        <v>482</v>
      </c>
      <c r="B448" s="39" t="s">
        <v>42</v>
      </c>
      <c r="C448" s="41"/>
      <c r="D448" s="30"/>
      <c r="E448" s="30" t="s">
        <v>44</v>
      </c>
      <c r="F448" s="8"/>
      <c r="G448" s="8"/>
      <c r="H448" s="7"/>
      <c r="I448" s="29">
        <f t="shared" si="14"/>
        <v>0</v>
      </c>
    </row>
    <row r="449" spans="1:9" ht="94.5" x14ac:dyDescent="0.45">
      <c r="A449" s="40" t="s">
        <v>483</v>
      </c>
      <c r="B449" s="39" t="s">
        <v>42</v>
      </c>
      <c r="C449" s="41"/>
      <c r="D449" s="30"/>
      <c r="E449" s="30" t="s">
        <v>44</v>
      </c>
      <c r="F449" s="8"/>
      <c r="G449" s="8"/>
      <c r="H449" s="7"/>
      <c r="I449" s="29">
        <f t="shared" si="14"/>
        <v>0</v>
      </c>
    </row>
    <row r="450" spans="1:9" ht="94.5" x14ac:dyDescent="0.45">
      <c r="A450" s="40" t="s">
        <v>484</v>
      </c>
      <c r="B450" s="39" t="s">
        <v>42</v>
      </c>
      <c r="C450" s="41"/>
      <c r="D450" s="30"/>
      <c r="E450" s="30" t="s">
        <v>44</v>
      </c>
      <c r="F450" s="8"/>
      <c r="G450" s="8"/>
      <c r="H450" s="7"/>
      <c r="I450" s="29">
        <f t="shared" si="14"/>
        <v>0</v>
      </c>
    </row>
    <row r="451" spans="1:9" ht="94.5" x14ac:dyDescent="0.45">
      <c r="A451" s="40" t="s">
        <v>485</v>
      </c>
      <c r="B451" s="39" t="s">
        <v>42</v>
      </c>
      <c r="C451" s="41"/>
      <c r="D451" s="30"/>
      <c r="E451" s="30" t="s">
        <v>44</v>
      </c>
      <c r="F451" s="8"/>
      <c r="G451" s="8"/>
      <c r="H451" s="7"/>
      <c r="I451" s="29">
        <f t="shared" si="14"/>
        <v>0</v>
      </c>
    </row>
    <row r="452" spans="1:9" ht="94.5" x14ac:dyDescent="0.45">
      <c r="A452" s="40" t="s">
        <v>486</v>
      </c>
      <c r="B452" s="39" t="s">
        <v>42</v>
      </c>
      <c r="C452" s="41"/>
      <c r="D452" s="30"/>
      <c r="E452" s="30" t="s">
        <v>44</v>
      </c>
      <c r="F452" s="8"/>
      <c r="G452" s="8"/>
      <c r="H452" s="7"/>
      <c r="I452" s="29">
        <f t="shared" si="14"/>
        <v>0</v>
      </c>
    </row>
    <row r="453" spans="1:9" ht="94.5" x14ac:dyDescent="0.45">
      <c r="A453" s="40" t="s">
        <v>487</v>
      </c>
      <c r="B453" s="39" t="s">
        <v>42</v>
      </c>
      <c r="C453" s="41"/>
      <c r="D453" s="30"/>
      <c r="E453" s="30" t="s">
        <v>44</v>
      </c>
      <c r="F453" s="8"/>
      <c r="G453" s="8"/>
      <c r="H453" s="7"/>
      <c r="I453" s="29">
        <f t="shared" si="14"/>
        <v>0</v>
      </c>
    </row>
    <row r="454" spans="1:9" ht="94.5" x14ac:dyDescent="0.45">
      <c r="A454" s="40" t="s">
        <v>488</v>
      </c>
      <c r="B454" s="39" t="s">
        <v>42</v>
      </c>
      <c r="C454" s="41"/>
      <c r="D454" s="30"/>
      <c r="E454" s="30" t="s">
        <v>44</v>
      </c>
      <c r="F454" s="8"/>
      <c r="G454" s="8"/>
      <c r="H454" s="7"/>
      <c r="I454" s="29">
        <f t="shared" si="14"/>
        <v>0</v>
      </c>
    </row>
    <row r="455" spans="1:9" ht="94.5" x14ac:dyDescent="0.45">
      <c r="A455" s="40" t="s">
        <v>489</v>
      </c>
      <c r="B455" s="39" t="s">
        <v>42</v>
      </c>
      <c r="C455" s="41"/>
      <c r="D455" s="30"/>
      <c r="E455" s="30" t="s">
        <v>44</v>
      </c>
      <c r="F455" s="8"/>
      <c r="G455" s="8"/>
      <c r="H455" s="7"/>
      <c r="I455" s="29">
        <f t="shared" si="14"/>
        <v>0</v>
      </c>
    </row>
    <row r="456" spans="1:9" ht="94.5" x14ac:dyDescent="0.45">
      <c r="A456" s="40" t="s">
        <v>490</v>
      </c>
      <c r="B456" s="39" t="s">
        <v>42</v>
      </c>
      <c r="C456" s="41"/>
      <c r="D456" s="30"/>
      <c r="E456" s="30" t="s">
        <v>44</v>
      </c>
      <c r="F456" s="8"/>
      <c r="G456" s="8"/>
      <c r="H456" s="7"/>
      <c r="I456" s="29">
        <f t="shared" si="14"/>
        <v>0</v>
      </c>
    </row>
    <row r="457" spans="1:9" ht="94.5" x14ac:dyDescent="0.45">
      <c r="A457" s="40" t="s">
        <v>491</v>
      </c>
      <c r="B457" s="39" t="s">
        <v>42</v>
      </c>
      <c r="C457" s="41"/>
      <c r="D457" s="30"/>
      <c r="E457" s="30" t="s">
        <v>44</v>
      </c>
      <c r="F457" s="8"/>
      <c r="G457" s="8"/>
      <c r="H457" s="7"/>
      <c r="I457" s="29">
        <f t="shared" si="14"/>
        <v>0</v>
      </c>
    </row>
    <row r="458" spans="1:9" ht="94.5" x14ac:dyDescent="0.45">
      <c r="A458" s="40" t="s">
        <v>492</v>
      </c>
      <c r="B458" s="39" t="s">
        <v>42</v>
      </c>
      <c r="C458" s="41"/>
      <c r="D458" s="30"/>
      <c r="E458" s="30" t="s">
        <v>44</v>
      </c>
      <c r="F458" s="8"/>
      <c r="G458" s="8"/>
      <c r="H458" s="7"/>
      <c r="I458" s="29">
        <f t="shared" si="14"/>
        <v>0</v>
      </c>
    </row>
    <row r="459" spans="1:9" ht="94.5" x14ac:dyDescent="0.45">
      <c r="A459" s="40" t="s">
        <v>493</v>
      </c>
      <c r="B459" s="39" t="s">
        <v>42</v>
      </c>
      <c r="C459" s="41"/>
      <c r="D459" s="30"/>
      <c r="E459" s="30" t="s">
        <v>44</v>
      </c>
      <c r="F459" s="8"/>
      <c r="G459" s="8"/>
      <c r="H459" s="7"/>
      <c r="I459" s="29">
        <f t="shared" si="14"/>
        <v>0</v>
      </c>
    </row>
    <row r="460" spans="1:9" ht="94.5" x14ac:dyDescent="0.45">
      <c r="A460" s="40" t="s">
        <v>494</v>
      </c>
      <c r="B460" s="39" t="s">
        <v>42</v>
      </c>
      <c r="C460" s="41"/>
      <c r="D460" s="30"/>
      <c r="E460" s="30" t="s">
        <v>44</v>
      </c>
      <c r="F460" s="8"/>
      <c r="G460" s="8"/>
      <c r="H460" s="7"/>
      <c r="I460" s="29">
        <f t="shared" si="14"/>
        <v>0</v>
      </c>
    </row>
    <row r="461" spans="1:9" ht="94.5" x14ac:dyDescent="0.45">
      <c r="A461" s="40" t="s">
        <v>495</v>
      </c>
      <c r="B461" s="39" t="s">
        <v>42</v>
      </c>
      <c r="C461" s="41"/>
      <c r="D461" s="30"/>
      <c r="E461" s="30" t="s">
        <v>44</v>
      </c>
      <c r="F461" s="8"/>
      <c r="G461" s="8"/>
      <c r="H461" s="7"/>
      <c r="I461" s="29">
        <f t="shared" si="14"/>
        <v>0</v>
      </c>
    </row>
    <row r="462" spans="1:9" ht="94.5" x14ac:dyDescent="0.45">
      <c r="A462" s="40" t="s">
        <v>496</v>
      </c>
      <c r="B462" s="39" t="s">
        <v>42</v>
      </c>
      <c r="C462" s="41"/>
      <c r="D462" s="30"/>
      <c r="E462" s="30" t="s">
        <v>44</v>
      </c>
      <c r="F462" s="8"/>
      <c r="G462" s="8"/>
      <c r="H462" s="7"/>
      <c r="I462" s="29">
        <f t="shared" si="14"/>
        <v>0</v>
      </c>
    </row>
    <row r="463" spans="1:9" ht="94.5" x14ac:dyDescent="0.45">
      <c r="A463" s="40" t="s">
        <v>497</v>
      </c>
      <c r="B463" s="39" t="s">
        <v>42</v>
      </c>
      <c r="C463" s="41"/>
      <c r="D463" s="30"/>
      <c r="E463" s="30" t="s">
        <v>44</v>
      </c>
      <c r="F463" s="8"/>
      <c r="G463" s="8"/>
      <c r="H463" s="7"/>
      <c r="I463" s="29">
        <f t="shared" si="14"/>
        <v>0</v>
      </c>
    </row>
    <row r="464" spans="1:9" ht="94.5" x14ac:dyDescent="0.45">
      <c r="A464" s="40" t="s">
        <v>498</v>
      </c>
      <c r="B464" s="39" t="s">
        <v>42</v>
      </c>
      <c r="C464" s="41"/>
      <c r="D464" s="30"/>
      <c r="E464" s="30" t="s">
        <v>44</v>
      </c>
      <c r="F464" s="8"/>
      <c r="G464" s="8"/>
      <c r="H464" s="7"/>
      <c r="I464" s="29">
        <f t="shared" si="14"/>
        <v>0</v>
      </c>
    </row>
    <row r="465" spans="1:9" ht="94.5" x14ac:dyDescent="0.45">
      <c r="A465" s="40" t="s">
        <v>499</v>
      </c>
      <c r="B465" s="39" t="s">
        <v>42</v>
      </c>
      <c r="C465" s="41"/>
      <c r="D465" s="30"/>
      <c r="E465" s="30" t="s">
        <v>44</v>
      </c>
      <c r="F465" s="8"/>
      <c r="G465" s="8"/>
      <c r="H465" s="7"/>
      <c r="I465" s="29">
        <f t="shared" si="14"/>
        <v>0</v>
      </c>
    </row>
    <row r="466" spans="1:9" ht="94.5" x14ac:dyDescent="0.45">
      <c r="A466" s="40" t="s">
        <v>500</v>
      </c>
      <c r="B466" s="39" t="s">
        <v>42</v>
      </c>
      <c r="C466" s="41"/>
      <c r="D466" s="30"/>
      <c r="E466" s="30" t="s">
        <v>44</v>
      </c>
      <c r="F466" s="8"/>
      <c r="G466" s="8"/>
      <c r="H466" s="7"/>
      <c r="I466" s="29">
        <f t="shared" si="14"/>
        <v>0</v>
      </c>
    </row>
    <row r="467" spans="1:9" ht="94.5" x14ac:dyDescent="0.45">
      <c r="A467" s="40" t="s">
        <v>501</v>
      </c>
      <c r="B467" s="39" t="s">
        <v>42</v>
      </c>
      <c r="C467" s="41"/>
      <c r="D467" s="30"/>
      <c r="E467" s="30" t="s">
        <v>44</v>
      </c>
      <c r="F467" s="8"/>
      <c r="G467" s="8"/>
      <c r="H467" s="7"/>
      <c r="I467" s="29">
        <f t="shared" si="14"/>
        <v>0</v>
      </c>
    </row>
    <row r="468" spans="1:9" ht="94.5" x14ac:dyDescent="0.45">
      <c r="A468" s="40" t="s">
        <v>502</v>
      </c>
      <c r="B468" s="39" t="s">
        <v>42</v>
      </c>
      <c r="C468" s="41"/>
      <c r="D468" s="30"/>
      <c r="E468" s="30" t="s">
        <v>44</v>
      </c>
      <c r="F468" s="8"/>
      <c r="G468" s="8"/>
      <c r="H468" s="7"/>
      <c r="I468" s="29">
        <f t="shared" si="14"/>
        <v>0</v>
      </c>
    </row>
    <row r="469" spans="1:9" ht="94.5" x14ac:dyDescent="0.45">
      <c r="A469" s="40" t="s">
        <v>503</v>
      </c>
      <c r="B469" s="39" t="s">
        <v>42</v>
      </c>
      <c r="C469" s="41"/>
      <c r="D469" s="30"/>
      <c r="E469" s="30" t="s">
        <v>44</v>
      </c>
      <c r="F469" s="8"/>
      <c r="G469" s="8"/>
      <c r="H469" s="7"/>
      <c r="I469" s="29">
        <f t="shared" si="14"/>
        <v>0</v>
      </c>
    </row>
    <row r="470" spans="1:9" ht="94.5" x14ac:dyDescent="0.45">
      <c r="A470" s="40" t="s">
        <v>504</v>
      </c>
      <c r="B470" s="39" t="s">
        <v>42</v>
      </c>
      <c r="C470" s="41"/>
      <c r="D470" s="30"/>
      <c r="E470" s="30" t="s">
        <v>44</v>
      </c>
      <c r="F470" s="8"/>
      <c r="G470" s="8"/>
      <c r="H470" s="7"/>
      <c r="I470" s="29">
        <f t="shared" si="14"/>
        <v>0</v>
      </c>
    </row>
    <row r="471" spans="1:9" ht="94.5" x14ac:dyDescent="0.45">
      <c r="A471" s="40" t="s">
        <v>505</v>
      </c>
      <c r="B471" s="39" t="s">
        <v>42</v>
      </c>
      <c r="C471" s="41"/>
      <c r="D471" s="30"/>
      <c r="E471" s="30" t="s">
        <v>44</v>
      </c>
      <c r="F471" s="8"/>
      <c r="G471" s="8"/>
      <c r="H471" s="7"/>
      <c r="I471" s="29">
        <f t="shared" si="14"/>
        <v>0</v>
      </c>
    </row>
    <row r="472" spans="1:9" ht="94.5" x14ac:dyDescent="0.45">
      <c r="A472" s="40" t="s">
        <v>506</v>
      </c>
      <c r="B472" s="39" t="s">
        <v>42</v>
      </c>
      <c r="C472" s="41"/>
      <c r="D472" s="30"/>
      <c r="E472" s="30" t="s">
        <v>44</v>
      </c>
      <c r="F472" s="8"/>
      <c r="G472" s="8"/>
      <c r="H472" s="7"/>
      <c r="I472" s="29">
        <f t="shared" si="14"/>
        <v>0</v>
      </c>
    </row>
    <row r="473" spans="1:9" ht="94.5" x14ac:dyDescent="0.45">
      <c r="A473" s="40" t="s">
        <v>507</v>
      </c>
      <c r="B473" s="39" t="s">
        <v>42</v>
      </c>
      <c r="C473" s="41"/>
      <c r="D473" s="30"/>
      <c r="E473" s="30" t="s">
        <v>44</v>
      </c>
      <c r="F473" s="8"/>
      <c r="G473" s="8"/>
      <c r="H473" s="7"/>
      <c r="I473" s="29">
        <f t="shared" si="14"/>
        <v>0</v>
      </c>
    </row>
    <row r="474" spans="1:9" ht="94.5" x14ac:dyDescent="0.45">
      <c r="A474" s="40" t="s">
        <v>508</v>
      </c>
      <c r="B474" s="39" t="s">
        <v>42</v>
      </c>
      <c r="C474" s="41"/>
      <c r="D474" s="30"/>
      <c r="E474" s="30" t="s">
        <v>44</v>
      </c>
      <c r="F474" s="8"/>
      <c r="G474" s="8"/>
      <c r="H474" s="7"/>
      <c r="I474" s="29">
        <f t="shared" si="14"/>
        <v>0</v>
      </c>
    </row>
    <row r="475" spans="1:9" ht="94.5" x14ac:dyDescent="0.45">
      <c r="A475" s="40" t="s">
        <v>509</v>
      </c>
      <c r="B475" s="39" t="s">
        <v>42</v>
      </c>
      <c r="C475" s="41"/>
      <c r="D475" s="30"/>
      <c r="E475" s="30" t="s">
        <v>44</v>
      </c>
      <c r="F475" s="8"/>
      <c r="G475" s="8"/>
      <c r="H475" s="7"/>
      <c r="I475" s="29">
        <f t="shared" si="14"/>
        <v>0</v>
      </c>
    </row>
    <row r="476" spans="1:9" ht="94.5" x14ac:dyDescent="0.45">
      <c r="A476" s="40" t="s">
        <v>510</v>
      </c>
      <c r="B476" s="39" t="s">
        <v>42</v>
      </c>
      <c r="C476" s="41"/>
      <c r="D476" s="30"/>
      <c r="E476" s="30" t="s">
        <v>44</v>
      </c>
      <c r="F476" s="8"/>
      <c r="G476" s="8"/>
      <c r="H476" s="7"/>
      <c r="I476" s="29">
        <f t="shared" si="14"/>
        <v>0</v>
      </c>
    </row>
    <row r="477" spans="1:9" ht="94.5" x14ac:dyDescent="0.45">
      <c r="A477" s="40" t="s">
        <v>511</v>
      </c>
      <c r="B477" s="39" t="s">
        <v>42</v>
      </c>
      <c r="C477" s="41"/>
      <c r="D477" s="30"/>
      <c r="E477" s="30" t="s">
        <v>44</v>
      </c>
      <c r="F477" s="8"/>
      <c r="G477" s="8"/>
      <c r="H477" s="7"/>
      <c r="I477" s="29">
        <f t="shared" si="14"/>
        <v>0</v>
      </c>
    </row>
    <row r="478" spans="1:9" ht="94.5" x14ac:dyDescent="0.45">
      <c r="A478" s="40" t="s">
        <v>512</v>
      </c>
      <c r="B478" s="39" t="s">
        <v>42</v>
      </c>
      <c r="C478" s="41"/>
      <c r="D478" s="30"/>
      <c r="E478" s="30" t="s">
        <v>44</v>
      </c>
      <c r="F478" s="8"/>
      <c r="G478" s="8"/>
      <c r="H478" s="7"/>
      <c r="I478" s="29">
        <f t="shared" si="14"/>
        <v>0</v>
      </c>
    </row>
    <row r="479" spans="1:9" ht="94.5" x14ac:dyDescent="0.45">
      <c r="A479" s="40" t="s">
        <v>513</v>
      </c>
      <c r="B479" s="39" t="s">
        <v>42</v>
      </c>
      <c r="C479" s="41"/>
      <c r="D479" s="30"/>
      <c r="E479" s="30" t="s">
        <v>44</v>
      </c>
      <c r="F479" s="8"/>
      <c r="G479" s="8"/>
      <c r="H479" s="7"/>
      <c r="I479" s="29">
        <f t="shared" si="14"/>
        <v>0</v>
      </c>
    </row>
    <row r="480" spans="1:9" ht="94.5" x14ac:dyDescent="0.45">
      <c r="A480" s="40" t="s">
        <v>514</v>
      </c>
      <c r="B480" s="39" t="s">
        <v>42</v>
      </c>
      <c r="C480" s="41"/>
      <c r="D480" s="30"/>
      <c r="E480" s="30" t="s">
        <v>44</v>
      </c>
      <c r="F480" s="8"/>
      <c r="G480" s="8"/>
      <c r="H480" s="7"/>
      <c r="I480" s="29">
        <f t="shared" si="14"/>
        <v>0</v>
      </c>
    </row>
    <row r="481" spans="1:9" ht="94.5" x14ac:dyDescent="0.45">
      <c r="A481" s="40" t="s">
        <v>515</v>
      </c>
      <c r="B481" s="39" t="s">
        <v>42</v>
      </c>
      <c r="C481" s="41"/>
      <c r="D481" s="30"/>
      <c r="E481" s="30" t="s">
        <v>44</v>
      </c>
      <c r="F481" s="8"/>
      <c r="G481" s="8"/>
      <c r="H481" s="7"/>
      <c r="I481" s="29">
        <f t="shared" ref="I481:I544" si="15">F481*H481</f>
        <v>0</v>
      </c>
    </row>
    <row r="482" spans="1:9" ht="94.5" x14ac:dyDescent="0.45">
      <c r="A482" s="40" t="s">
        <v>516</v>
      </c>
      <c r="B482" s="39" t="s">
        <v>42</v>
      </c>
      <c r="C482" s="41"/>
      <c r="D482" s="30"/>
      <c r="E482" s="30" t="s">
        <v>44</v>
      </c>
      <c r="F482" s="8"/>
      <c r="G482" s="8"/>
      <c r="H482" s="7"/>
      <c r="I482" s="29">
        <f t="shared" si="15"/>
        <v>0</v>
      </c>
    </row>
    <row r="483" spans="1:9" ht="94.5" x14ac:dyDescent="0.45">
      <c r="A483" s="40" t="s">
        <v>517</v>
      </c>
      <c r="B483" s="39" t="s">
        <v>42</v>
      </c>
      <c r="C483" s="41"/>
      <c r="D483" s="30"/>
      <c r="E483" s="30" t="s">
        <v>44</v>
      </c>
      <c r="F483" s="8"/>
      <c r="G483" s="8"/>
      <c r="H483" s="7"/>
      <c r="I483" s="29">
        <f t="shared" si="15"/>
        <v>0</v>
      </c>
    </row>
    <row r="484" spans="1:9" ht="94.5" x14ac:dyDescent="0.45">
      <c r="A484" s="40" t="s">
        <v>518</v>
      </c>
      <c r="B484" s="39" t="s">
        <v>42</v>
      </c>
      <c r="C484" s="41"/>
      <c r="D484" s="30"/>
      <c r="E484" s="30" t="s">
        <v>44</v>
      </c>
      <c r="F484" s="8"/>
      <c r="G484" s="8"/>
      <c r="H484" s="7"/>
      <c r="I484" s="29">
        <f t="shared" si="15"/>
        <v>0</v>
      </c>
    </row>
    <row r="485" spans="1:9" ht="94.5" x14ac:dyDescent="0.45">
      <c r="A485" s="40" t="s">
        <v>519</v>
      </c>
      <c r="B485" s="39" t="s">
        <v>42</v>
      </c>
      <c r="C485" s="41"/>
      <c r="D485" s="30"/>
      <c r="E485" s="30" t="s">
        <v>44</v>
      </c>
      <c r="F485" s="8"/>
      <c r="G485" s="8"/>
      <c r="H485" s="7"/>
      <c r="I485" s="29">
        <f t="shared" si="15"/>
        <v>0</v>
      </c>
    </row>
    <row r="486" spans="1:9" ht="94.5" x14ac:dyDescent="0.45">
      <c r="A486" s="40" t="s">
        <v>520</v>
      </c>
      <c r="B486" s="39" t="s">
        <v>42</v>
      </c>
      <c r="C486" s="41"/>
      <c r="D486" s="30"/>
      <c r="E486" s="30" t="s">
        <v>44</v>
      </c>
      <c r="F486" s="8"/>
      <c r="G486" s="8"/>
      <c r="H486" s="7"/>
      <c r="I486" s="29">
        <f t="shared" si="15"/>
        <v>0</v>
      </c>
    </row>
    <row r="487" spans="1:9" ht="94.5" x14ac:dyDescent="0.45">
      <c r="A487" s="40" t="s">
        <v>521</v>
      </c>
      <c r="B487" s="39" t="s">
        <v>42</v>
      </c>
      <c r="C487" s="41"/>
      <c r="D487" s="30"/>
      <c r="E487" s="30" t="s">
        <v>44</v>
      </c>
      <c r="F487" s="8"/>
      <c r="G487" s="8"/>
      <c r="H487" s="7"/>
      <c r="I487" s="29">
        <f t="shared" si="15"/>
        <v>0</v>
      </c>
    </row>
    <row r="488" spans="1:9" ht="94.5" x14ac:dyDescent="0.45">
      <c r="A488" s="40" t="s">
        <v>522</v>
      </c>
      <c r="B488" s="39" t="s">
        <v>42</v>
      </c>
      <c r="C488" s="41"/>
      <c r="D488" s="30"/>
      <c r="E488" s="30" t="s">
        <v>44</v>
      </c>
      <c r="F488" s="8"/>
      <c r="G488" s="8"/>
      <c r="H488" s="7"/>
      <c r="I488" s="29">
        <f t="shared" si="15"/>
        <v>0</v>
      </c>
    </row>
    <row r="489" spans="1:9" ht="94.5" x14ac:dyDescent="0.45">
      <c r="A489" s="40" t="s">
        <v>523</v>
      </c>
      <c r="B489" s="39" t="s">
        <v>42</v>
      </c>
      <c r="C489" s="41"/>
      <c r="D489" s="30"/>
      <c r="E489" s="30" t="s">
        <v>44</v>
      </c>
      <c r="F489" s="8"/>
      <c r="G489" s="8"/>
      <c r="H489" s="7"/>
      <c r="I489" s="29">
        <f t="shared" si="15"/>
        <v>0</v>
      </c>
    </row>
    <row r="490" spans="1:9" ht="94.5" x14ac:dyDescent="0.45">
      <c r="A490" s="40" t="s">
        <v>524</v>
      </c>
      <c r="B490" s="39" t="s">
        <v>42</v>
      </c>
      <c r="C490" s="41"/>
      <c r="D490" s="30"/>
      <c r="E490" s="30" t="s">
        <v>44</v>
      </c>
      <c r="F490" s="8"/>
      <c r="G490" s="8"/>
      <c r="H490" s="7"/>
      <c r="I490" s="29">
        <f t="shared" si="15"/>
        <v>0</v>
      </c>
    </row>
    <row r="491" spans="1:9" ht="94.5" x14ac:dyDescent="0.45">
      <c r="A491" s="40" t="s">
        <v>525</v>
      </c>
      <c r="B491" s="39" t="s">
        <v>42</v>
      </c>
      <c r="C491" s="41"/>
      <c r="D491" s="30"/>
      <c r="E491" s="30" t="s">
        <v>44</v>
      </c>
      <c r="F491" s="8"/>
      <c r="G491" s="8"/>
      <c r="H491" s="7"/>
      <c r="I491" s="29">
        <f t="shared" si="15"/>
        <v>0</v>
      </c>
    </row>
    <row r="492" spans="1:9" ht="94.5" x14ac:dyDescent="0.45">
      <c r="A492" s="40" t="s">
        <v>526</v>
      </c>
      <c r="B492" s="39" t="s">
        <v>42</v>
      </c>
      <c r="C492" s="41"/>
      <c r="D492" s="30"/>
      <c r="E492" s="30" t="s">
        <v>44</v>
      </c>
      <c r="F492" s="8"/>
      <c r="G492" s="8"/>
      <c r="H492" s="7"/>
      <c r="I492" s="29">
        <f t="shared" si="15"/>
        <v>0</v>
      </c>
    </row>
    <row r="493" spans="1:9" ht="94.5" x14ac:dyDescent="0.45">
      <c r="A493" s="40" t="s">
        <v>527</v>
      </c>
      <c r="B493" s="39" t="s">
        <v>42</v>
      </c>
      <c r="C493" s="41"/>
      <c r="D493" s="30"/>
      <c r="E493" s="30" t="s">
        <v>44</v>
      </c>
      <c r="F493" s="8"/>
      <c r="G493" s="8"/>
      <c r="H493" s="7"/>
      <c r="I493" s="29">
        <f t="shared" si="15"/>
        <v>0</v>
      </c>
    </row>
    <row r="494" spans="1:9" ht="94.5" x14ac:dyDescent="0.45">
      <c r="A494" s="40" t="s">
        <v>528</v>
      </c>
      <c r="B494" s="39" t="s">
        <v>42</v>
      </c>
      <c r="C494" s="41"/>
      <c r="D494" s="30"/>
      <c r="E494" s="30" t="s">
        <v>44</v>
      </c>
      <c r="F494" s="8"/>
      <c r="G494" s="8"/>
      <c r="H494" s="7"/>
      <c r="I494" s="29">
        <f t="shared" si="15"/>
        <v>0</v>
      </c>
    </row>
    <row r="495" spans="1:9" ht="94.5" x14ac:dyDescent="0.45">
      <c r="A495" s="40" t="s">
        <v>529</v>
      </c>
      <c r="B495" s="39" t="s">
        <v>42</v>
      </c>
      <c r="C495" s="41"/>
      <c r="D495" s="30"/>
      <c r="E495" s="30" t="s">
        <v>44</v>
      </c>
      <c r="F495" s="8"/>
      <c r="G495" s="8"/>
      <c r="H495" s="7"/>
      <c r="I495" s="29">
        <f t="shared" si="15"/>
        <v>0</v>
      </c>
    </row>
    <row r="496" spans="1:9" ht="94.5" x14ac:dyDescent="0.45">
      <c r="A496" s="40" t="s">
        <v>530</v>
      </c>
      <c r="B496" s="39" t="s">
        <v>42</v>
      </c>
      <c r="C496" s="41"/>
      <c r="D496" s="30"/>
      <c r="E496" s="30" t="s">
        <v>44</v>
      </c>
      <c r="F496" s="8"/>
      <c r="G496" s="8"/>
      <c r="H496" s="7"/>
      <c r="I496" s="29">
        <f t="shared" si="15"/>
        <v>0</v>
      </c>
    </row>
    <row r="497" spans="1:9" ht="94.5" x14ac:dyDescent="0.45">
      <c r="A497" s="40" t="s">
        <v>531</v>
      </c>
      <c r="B497" s="39" t="s">
        <v>42</v>
      </c>
      <c r="C497" s="41"/>
      <c r="D497" s="30"/>
      <c r="E497" s="30" t="s">
        <v>44</v>
      </c>
      <c r="F497" s="8"/>
      <c r="G497" s="8"/>
      <c r="H497" s="7"/>
      <c r="I497" s="29">
        <f t="shared" si="15"/>
        <v>0</v>
      </c>
    </row>
    <row r="498" spans="1:9" ht="94.5" x14ac:dyDescent="0.45">
      <c r="A498" s="40" t="s">
        <v>532</v>
      </c>
      <c r="B498" s="39" t="s">
        <v>42</v>
      </c>
      <c r="C498" s="41"/>
      <c r="D498" s="30"/>
      <c r="E498" s="30" t="s">
        <v>44</v>
      </c>
      <c r="F498" s="8"/>
      <c r="G498" s="8"/>
      <c r="H498" s="7"/>
      <c r="I498" s="29">
        <f t="shared" si="15"/>
        <v>0</v>
      </c>
    </row>
    <row r="499" spans="1:9" ht="94.5" x14ac:dyDescent="0.45">
      <c r="A499" s="40" t="s">
        <v>533</v>
      </c>
      <c r="B499" s="39" t="s">
        <v>42</v>
      </c>
      <c r="C499" s="41"/>
      <c r="D499" s="30"/>
      <c r="E499" s="30" t="s">
        <v>44</v>
      </c>
      <c r="F499" s="8"/>
      <c r="G499" s="8"/>
      <c r="H499" s="7"/>
      <c r="I499" s="29">
        <f t="shared" si="15"/>
        <v>0</v>
      </c>
    </row>
    <row r="500" spans="1:9" ht="94.5" x14ac:dyDescent="0.45">
      <c r="A500" s="40" t="s">
        <v>534</v>
      </c>
      <c r="B500" s="39" t="s">
        <v>42</v>
      </c>
      <c r="C500" s="41"/>
      <c r="D500" s="30"/>
      <c r="E500" s="30" t="s">
        <v>44</v>
      </c>
      <c r="F500" s="8"/>
      <c r="G500" s="8"/>
      <c r="H500" s="7"/>
      <c r="I500" s="29">
        <f t="shared" si="15"/>
        <v>0</v>
      </c>
    </row>
    <row r="501" spans="1:9" ht="94.5" x14ac:dyDescent="0.45">
      <c r="A501" s="40" t="s">
        <v>535</v>
      </c>
      <c r="B501" s="39" t="s">
        <v>42</v>
      </c>
      <c r="C501" s="41"/>
      <c r="D501" s="30"/>
      <c r="E501" s="30" t="s">
        <v>44</v>
      </c>
      <c r="F501" s="8"/>
      <c r="G501" s="8"/>
      <c r="H501" s="7"/>
      <c r="I501" s="29">
        <f t="shared" si="15"/>
        <v>0</v>
      </c>
    </row>
    <row r="502" spans="1:9" ht="94.5" x14ac:dyDescent="0.45">
      <c r="A502" s="40" t="s">
        <v>536</v>
      </c>
      <c r="B502" s="39" t="s">
        <v>42</v>
      </c>
      <c r="C502" s="41"/>
      <c r="D502" s="30"/>
      <c r="E502" s="30" t="s">
        <v>44</v>
      </c>
      <c r="F502" s="8"/>
      <c r="G502" s="8"/>
      <c r="H502" s="7"/>
      <c r="I502" s="29">
        <f t="shared" si="15"/>
        <v>0</v>
      </c>
    </row>
    <row r="503" spans="1:9" ht="94.5" x14ac:dyDescent="0.45">
      <c r="A503" s="40" t="s">
        <v>537</v>
      </c>
      <c r="B503" s="39" t="s">
        <v>42</v>
      </c>
      <c r="C503" s="41"/>
      <c r="D503" s="30"/>
      <c r="E503" s="30" t="s">
        <v>44</v>
      </c>
      <c r="F503" s="8"/>
      <c r="G503" s="8"/>
      <c r="H503" s="7"/>
      <c r="I503" s="29">
        <f t="shared" si="15"/>
        <v>0</v>
      </c>
    </row>
    <row r="504" spans="1:9" ht="94.5" x14ac:dyDescent="0.45">
      <c r="A504" s="40" t="s">
        <v>538</v>
      </c>
      <c r="B504" s="39" t="s">
        <v>42</v>
      </c>
      <c r="C504" s="41"/>
      <c r="D504" s="30"/>
      <c r="E504" s="30" t="s">
        <v>44</v>
      </c>
      <c r="F504" s="8"/>
      <c r="G504" s="8"/>
      <c r="H504" s="7"/>
      <c r="I504" s="29">
        <f t="shared" si="15"/>
        <v>0</v>
      </c>
    </row>
    <row r="505" spans="1:9" ht="94.5" x14ac:dyDescent="0.45">
      <c r="A505" s="40" t="s">
        <v>539</v>
      </c>
      <c r="B505" s="39" t="s">
        <v>42</v>
      </c>
      <c r="C505" s="41"/>
      <c r="D505" s="30"/>
      <c r="E505" s="30" t="s">
        <v>44</v>
      </c>
      <c r="F505" s="8"/>
      <c r="G505" s="8"/>
      <c r="H505" s="7"/>
      <c r="I505" s="29">
        <f t="shared" si="15"/>
        <v>0</v>
      </c>
    </row>
    <row r="506" spans="1:9" ht="94.5" x14ac:dyDescent="0.45">
      <c r="A506" s="40" t="s">
        <v>540</v>
      </c>
      <c r="B506" s="39" t="s">
        <v>42</v>
      </c>
      <c r="C506" s="41"/>
      <c r="D506" s="30"/>
      <c r="E506" s="30" t="s">
        <v>44</v>
      </c>
      <c r="F506" s="8"/>
      <c r="G506" s="8"/>
      <c r="H506" s="7"/>
      <c r="I506" s="29">
        <f t="shared" si="15"/>
        <v>0</v>
      </c>
    </row>
    <row r="507" spans="1:9" ht="94.5" x14ac:dyDescent="0.45">
      <c r="A507" s="40" t="s">
        <v>541</v>
      </c>
      <c r="B507" s="39" t="s">
        <v>42</v>
      </c>
      <c r="C507" s="41"/>
      <c r="D507" s="30"/>
      <c r="E507" s="30" t="s">
        <v>44</v>
      </c>
      <c r="F507" s="8"/>
      <c r="G507" s="8"/>
      <c r="H507" s="7"/>
      <c r="I507" s="29">
        <f t="shared" si="15"/>
        <v>0</v>
      </c>
    </row>
    <row r="508" spans="1:9" ht="94.5" x14ac:dyDescent="0.45">
      <c r="A508" s="40" t="s">
        <v>542</v>
      </c>
      <c r="B508" s="39" t="s">
        <v>42</v>
      </c>
      <c r="C508" s="41"/>
      <c r="D508" s="30"/>
      <c r="E508" s="30" t="s">
        <v>44</v>
      </c>
      <c r="F508" s="8"/>
      <c r="G508" s="8"/>
      <c r="H508" s="7"/>
      <c r="I508" s="29">
        <f t="shared" si="15"/>
        <v>0</v>
      </c>
    </row>
    <row r="509" spans="1:9" ht="94.5" x14ac:dyDescent="0.45">
      <c r="A509" s="40" t="s">
        <v>543</v>
      </c>
      <c r="B509" s="39" t="s">
        <v>42</v>
      </c>
      <c r="C509" s="41"/>
      <c r="D509" s="30"/>
      <c r="E509" s="30" t="s">
        <v>44</v>
      </c>
      <c r="F509" s="8"/>
      <c r="G509" s="8"/>
      <c r="H509" s="7"/>
      <c r="I509" s="29">
        <f t="shared" si="15"/>
        <v>0</v>
      </c>
    </row>
    <row r="510" spans="1:9" ht="94.5" x14ac:dyDescent="0.45">
      <c r="A510" s="40" t="s">
        <v>544</v>
      </c>
      <c r="B510" s="39" t="s">
        <v>42</v>
      </c>
      <c r="C510" s="41"/>
      <c r="D510" s="30"/>
      <c r="E510" s="30" t="s">
        <v>44</v>
      </c>
      <c r="F510" s="8"/>
      <c r="G510" s="8"/>
      <c r="H510" s="7"/>
      <c r="I510" s="29">
        <f t="shared" si="15"/>
        <v>0</v>
      </c>
    </row>
    <row r="511" spans="1:9" ht="94.5" x14ac:dyDescent="0.45">
      <c r="A511" s="40" t="s">
        <v>545</v>
      </c>
      <c r="B511" s="39" t="s">
        <v>42</v>
      </c>
      <c r="C511" s="41"/>
      <c r="D511" s="30"/>
      <c r="E511" s="30" t="s">
        <v>44</v>
      </c>
      <c r="F511" s="8"/>
      <c r="G511" s="8"/>
      <c r="H511" s="7"/>
      <c r="I511" s="29">
        <f t="shared" si="15"/>
        <v>0</v>
      </c>
    </row>
    <row r="512" spans="1:9" ht="94.5" x14ac:dyDescent="0.45">
      <c r="A512" s="40" t="s">
        <v>546</v>
      </c>
      <c r="B512" s="39" t="s">
        <v>42</v>
      </c>
      <c r="C512" s="41"/>
      <c r="D512" s="30"/>
      <c r="E512" s="30" t="s">
        <v>44</v>
      </c>
      <c r="F512" s="8"/>
      <c r="G512" s="8"/>
      <c r="H512" s="7"/>
      <c r="I512" s="29">
        <f t="shared" si="15"/>
        <v>0</v>
      </c>
    </row>
    <row r="513" spans="1:9" ht="94.5" x14ac:dyDescent="0.45">
      <c r="A513" s="40" t="s">
        <v>547</v>
      </c>
      <c r="B513" s="39" t="s">
        <v>42</v>
      </c>
      <c r="C513" s="41"/>
      <c r="D513" s="30"/>
      <c r="E513" s="30" t="s">
        <v>44</v>
      </c>
      <c r="F513" s="8"/>
      <c r="G513" s="8"/>
      <c r="H513" s="7"/>
      <c r="I513" s="29">
        <f t="shared" si="15"/>
        <v>0</v>
      </c>
    </row>
    <row r="514" spans="1:9" ht="94.5" x14ac:dyDescent="0.45">
      <c r="A514" s="40" t="s">
        <v>548</v>
      </c>
      <c r="B514" s="39" t="s">
        <v>42</v>
      </c>
      <c r="C514" s="41"/>
      <c r="D514" s="30"/>
      <c r="E514" s="30" t="s">
        <v>44</v>
      </c>
      <c r="F514" s="8"/>
      <c r="G514" s="8"/>
      <c r="H514" s="7"/>
      <c r="I514" s="29">
        <f t="shared" si="15"/>
        <v>0</v>
      </c>
    </row>
    <row r="515" spans="1:9" ht="94.5" x14ac:dyDescent="0.45">
      <c r="A515" s="40" t="s">
        <v>549</v>
      </c>
      <c r="B515" s="39" t="s">
        <v>42</v>
      </c>
      <c r="C515" s="41"/>
      <c r="D515" s="30"/>
      <c r="E515" s="30" t="s">
        <v>44</v>
      </c>
      <c r="F515" s="8"/>
      <c r="G515" s="8"/>
      <c r="H515" s="7"/>
      <c r="I515" s="29">
        <f t="shared" si="15"/>
        <v>0</v>
      </c>
    </row>
    <row r="516" spans="1:9" ht="94.5" x14ac:dyDescent="0.45">
      <c r="A516" s="40" t="s">
        <v>550</v>
      </c>
      <c r="B516" s="39" t="s">
        <v>42</v>
      </c>
      <c r="C516" s="41"/>
      <c r="D516" s="30"/>
      <c r="E516" s="30" t="s">
        <v>44</v>
      </c>
      <c r="F516" s="8"/>
      <c r="G516" s="8"/>
      <c r="H516" s="7"/>
      <c r="I516" s="29">
        <f t="shared" si="15"/>
        <v>0</v>
      </c>
    </row>
    <row r="517" spans="1:9" ht="94.5" x14ac:dyDescent="0.45">
      <c r="A517" s="40" t="s">
        <v>551</v>
      </c>
      <c r="B517" s="39" t="s">
        <v>42</v>
      </c>
      <c r="C517" s="41"/>
      <c r="D517" s="30"/>
      <c r="E517" s="30" t="s">
        <v>44</v>
      </c>
      <c r="F517" s="8"/>
      <c r="G517" s="8"/>
      <c r="H517" s="7"/>
      <c r="I517" s="29">
        <f t="shared" si="15"/>
        <v>0</v>
      </c>
    </row>
    <row r="518" spans="1:9" ht="94.5" x14ac:dyDescent="0.45">
      <c r="A518" s="40" t="s">
        <v>552</v>
      </c>
      <c r="B518" s="39" t="s">
        <v>42</v>
      </c>
      <c r="C518" s="41"/>
      <c r="D518" s="30"/>
      <c r="E518" s="30" t="s">
        <v>44</v>
      </c>
      <c r="F518" s="8"/>
      <c r="G518" s="8"/>
      <c r="H518" s="7"/>
      <c r="I518" s="29">
        <f t="shared" si="15"/>
        <v>0</v>
      </c>
    </row>
    <row r="519" spans="1:9" ht="94.5" x14ac:dyDescent="0.45">
      <c r="A519" s="40" t="s">
        <v>553</v>
      </c>
      <c r="B519" s="39" t="s">
        <v>42</v>
      </c>
      <c r="C519" s="41"/>
      <c r="D519" s="30"/>
      <c r="E519" s="30" t="s">
        <v>44</v>
      </c>
      <c r="F519" s="8"/>
      <c r="G519" s="8"/>
      <c r="H519" s="7"/>
      <c r="I519" s="29">
        <f t="shared" si="15"/>
        <v>0</v>
      </c>
    </row>
    <row r="520" spans="1:9" ht="94.5" x14ac:dyDescent="0.45">
      <c r="A520" s="40" t="s">
        <v>554</v>
      </c>
      <c r="B520" s="39" t="s">
        <v>42</v>
      </c>
      <c r="C520" s="41"/>
      <c r="D520" s="30"/>
      <c r="E520" s="30" t="s">
        <v>44</v>
      </c>
      <c r="F520" s="8"/>
      <c r="G520" s="8"/>
      <c r="H520" s="7"/>
      <c r="I520" s="29">
        <f t="shared" si="15"/>
        <v>0</v>
      </c>
    </row>
    <row r="521" spans="1:9" ht="94.5" x14ac:dyDescent="0.45">
      <c r="A521" s="40" t="s">
        <v>555</v>
      </c>
      <c r="B521" s="39" t="s">
        <v>42</v>
      </c>
      <c r="C521" s="41"/>
      <c r="D521" s="30"/>
      <c r="E521" s="30" t="s">
        <v>44</v>
      </c>
      <c r="F521" s="8"/>
      <c r="G521" s="8"/>
      <c r="H521" s="7"/>
      <c r="I521" s="29">
        <f t="shared" si="15"/>
        <v>0</v>
      </c>
    </row>
    <row r="522" spans="1:9" ht="94.5" x14ac:dyDescent="0.45">
      <c r="A522" s="40" t="s">
        <v>556</v>
      </c>
      <c r="B522" s="39" t="s">
        <v>42</v>
      </c>
      <c r="C522" s="41"/>
      <c r="D522" s="30"/>
      <c r="E522" s="30" t="s">
        <v>44</v>
      </c>
      <c r="F522" s="8"/>
      <c r="G522" s="8"/>
      <c r="H522" s="7"/>
      <c r="I522" s="29">
        <f t="shared" si="15"/>
        <v>0</v>
      </c>
    </row>
    <row r="523" spans="1:9" ht="94.5" x14ac:dyDescent="0.45">
      <c r="A523" s="40" t="s">
        <v>557</v>
      </c>
      <c r="B523" s="39" t="s">
        <v>42</v>
      </c>
      <c r="C523" s="41"/>
      <c r="D523" s="30"/>
      <c r="E523" s="30" t="s">
        <v>44</v>
      </c>
      <c r="F523" s="8"/>
      <c r="G523" s="8"/>
      <c r="H523" s="7"/>
      <c r="I523" s="29">
        <f t="shared" si="15"/>
        <v>0</v>
      </c>
    </row>
    <row r="524" spans="1:9" ht="94.5" x14ac:dyDescent="0.45">
      <c r="A524" s="40" t="s">
        <v>558</v>
      </c>
      <c r="B524" s="39" t="s">
        <v>42</v>
      </c>
      <c r="C524" s="41"/>
      <c r="D524" s="30"/>
      <c r="E524" s="30" t="s">
        <v>44</v>
      </c>
      <c r="F524" s="8"/>
      <c r="G524" s="8"/>
      <c r="H524" s="7"/>
      <c r="I524" s="29">
        <f t="shared" si="15"/>
        <v>0</v>
      </c>
    </row>
    <row r="525" spans="1:9" ht="94.5" x14ac:dyDescent="0.45">
      <c r="A525" s="40" t="s">
        <v>559</v>
      </c>
      <c r="B525" s="39" t="s">
        <v>42</v>
      </c>
      <c r="C525" s="41"/>
      <c r="D525" s="30"/>
      <c r="E525" s="30" t="s">
        <v>44</v>
      </c>
      <c r="F525" s="8"/>
      <c r="G525" s="8"/>
      <c r="H525" s="7"/>
      <c r="I525" s="29">
        <f t="shared" si="15"/>
        <v>0</v>
      </c>
    </row>
    <row r="526" spans="1:9" ht="94.5" x14ac:dyDescent="0.45">
      <c r="A526" s="40" t="s">
        <v>560</v>
      </c>
      <c r="B526" s="39" t="s">
        <v>42</v>
      </c>
      <c r="C526" s="41"/>
      <c r="D526" s="30"/>
      <c r="E526" s="30" t="s">
        <v>44</v>
      </c>
      <c r="F526" s="8"/>
      <c r="G526" s="8"/>
      <c r="H526" s="7"/>
      <c r="I526" s="29">
        <f t="shared" si="15"/>
        <v>0</v>
      </c>
    </row>
    <row r="527" spans="1:9" ht="94.5" x14ac:dyDescent="0.45">
      <c r="A527" s="40" t="s">
        <v>561</v>
      </c>
      <c r="B527" s="39" t="s">
        <v>42</v>
      </c>
      <c r="C527" s="41"/>
      <c r="D527" s="30"/>
      <c r="E527" s="30" t="s">
        <v>44</v>
      </c>
      <c r="F527" s="8"/>
      <c r="G527" s="8"/>
      <c r="H527" s="7"/>
      <c r="I527" s="29">
        <f t="shared" si="15"/>
        <v>0</v>
      </c>
    </row>
    <row r="528" spans="1:9" ht="94.5" x14ac:dyDescent="0.45">
      <c r="A528" s="40" t="s">
        <v>562</v>
      </c>
      <c r="B528" s="39" t="s">
        <v>42</v>
      </c>
      <c r="C528" s="41"/>
      <c r="D528" s="30"/>
      <c r="E528" s="30" t="s">
        <v>44</v>
      </c>
      <c r="F528" s="8"/>
      <c r="G528" s="8"/>
      <c r="H528" s="7"/>
      <c r="I528" s="29">
        <f t="shared" si="15"/>
        <v>0</v>
      </c>
    </row>
    <row r="529" spans="1:9" ht="94.5" x14ac:dyDescent="0.45">
      <c r="A529" s="40" t="s">
        <v>563</v>
      </c>
      <c r="B529" s="39" t="s">
        <v>42</v>
      </c>
      <c r="C529" s="41"/>
      <c r="D529" s="30"/>
      <c r="E529" s="30" t="s">
        <v>44</v>
      </c>
      <c r="F529" s="8"/>
      <c r="G529" s="8"/>
      <c r="H529" s="7"/>
      <c r="I529" s="29">
        <f t="shared" si="15"/>
        <v>0</v>
      </c>
    </row>
    <row r="530" spans="1:9" ht="94.5" x14ac:dyDescent="0.45">
      <c r="A530" s="40" t="s">
        <v>564</v>
      </c>
      <c r="B530" s="39" t="s">
        <v>42</v>
      </c>
      <c r="C530" s="41"/>
      <c r="D530" s="30"/>
      <c r="E530" s="30" t="s">
        <v>44</v>
      </c>
      <c r="F530" s="8"/>
      <c r="G530" s="8"/>
      <c r="H530" s="7"/>
      <c r="I530" s="29">
        <f t="shared" si="15"/>
        <v>0</v>
      </c>
    </row>
    <row r="531" spans="1:9" ht="94.5" x14ac:dyDescent="0.45">
      <c r="A531" s="40" t="s">
        <v>565</v>
      </c>
      <c r="B531" s="39" t="s">
        <v>42</v>
      </c>
      <c r="C531" s="41"/>
      <c r="D531" s="30"/>
      <c r="E531" s="30" t="s">
        <v>44</v>
      </c>
      <c r="F531" s="8"/>
      <c r="G531" s="8"/>
      <c r="H531" s="7"/>
      <c r="I531" s="29">
        <f t="shared" si="15"/>
        <v>0</v>
      </c>
    </row>
    <row r="532" spans="1:9" ht="94.5" x14ac:dyDescent="0.45">
      <c r="A532" s="40" t="s">
        <v>566</v>
      </c>
      <c r="B532" s="39" t="s">
        <v>42</v>
      </c>
      <c r="C532" s="41"/>
      <c r="D532" s="30"/>
      <c r="E532" s="30" t="s">
        <v>44</v>
      </c>
      <c r="F532" s="8"/>
      <c r="G532" s="8"/>
      <c r="H532" s="7"/>
      <c r="I532" s="29">
        <f t="shared" si="15"/>
        <v>0</v>
      </c>
    </row>
    <row r="533" spans="1:9" ht="94.5" x14ac:dyDescent="0.45">
      <c r="A533" s="40" t="s">
        <v>567</v>
      </c>
      <c r="B533" s="39" t="s">
        <v>42</v>
      </c>
      <c r="C533" s="41"/>
      <c r="D533" s="30"/>
      <c r="E533" s="30" t="s">
        <v>44</v>
      </c>
      <c r="F533" s="8"/>
      <c r="G533" s="8"/>
      <c r="H533" s="7"/>
      <c r="I533" s="29">
        <f t="shared" si="15"/>
        <v>0</v>
      </c>
    </row>
    <row r="534" spans="1:9" ht="94.5" x14ac:dyDescent="0.45">
      <c r="A534" s="40" t="s">
        <v>568</v>
      </c>
      <c r="B534" s="39" t="s">
        <v>42</v>
      </c>
      <c r="C534" s="41"/>
      <c r="D534" s="30"/>
      <c r="E534" s="30" t="s">
        <v>44</v>
      </c>
      <c r="F534" s="8"/>
      <c r="G534" s="8"/>
      <c r="H534" s="7"/>
      <c r="I534" s="29">
        <f t="shared" si="15"/>
        <v>0</v>
      </c>
    </row>
    <row r="535" spans="1:9" ht="94.5" x14ac:dyDescent="0.45">
      <c r="A535" s="40" t="s">
        <v>569</v>
      </c>
      <c r="B535" s="39" t="s">
        <v>42</v>
      </c>
      <c r="C535" s="41"/>
      <c r="D535" s="30"/>
      <c r="E535" s="30" t="s">
        <v>44</v>
      </c>
      <c r="F535" s="8"/>
      <c r="G535" s="8"/>
      <c r="H535" s="7"/>
      <c r="I535" s="29">
        <f t="shared" si="15"/>
        <v>0</v>
      </c>
    </row>
    <row r="536" spans="1:9" ht="94.5" x14ac:dyDescent="0.45">
      <c r="A536" s="40" t="s">
        <v>570</v>
      </c>
      <c r="B536" s="39" t="s">
        <v>42</v>
      </c>
      <c r="C536" s="41"/>
      <c r="D536" s="30"/>
      <c r="E536" s="30" t="s">
        <v>44</v>
      </c>
      <c r="F536" s="8"/>
      <c r="G536" s="8"/>
      <c r="H536" s="7"/>
      <c r="I536" s="29">
        <f t="shared" si="15"/>
        <v>0</v>
      </c>
    </row>
    <row r="537" spans="1:9" ht="94.5" x14ac:dyDescent="0.45">
      <c r="A537" s="40" t="s">
        <v>571</v>
      </c>
      <c r="B537" s="39" t="s">
        <v>42</v>
      </c>
      <c r="C537" s="41"/>
      <c r="D537" s="30"/>
      <c r="E537" s="30" t="s">
        <v>44</v>
      </c>
      <c r="F537" s="8"/>
      <c r="G537" s="8"/>
      <c r="H537" s="7"/>
      <c r="I537" s="29">
        <f t="shared" si="15"/>
        <v>0</v>
      </c>
    </row>
    <row r="538" spans="1:9" ht="94.5" x14ac:dyDescent="0.45">
      <c r="A538" s="40" t="s">
        <v>572</v>
      </c>
      <c r="B538" s="39" t="s">
        <v>42</v>
      </c>
      <c r="C538" s="41"/>
      <c r="D538" s="30"/>
      <c r="E538" s="30" t="s">
        <v>44</v>
      </c>
      <c r="F538" s="8"/>
      <c r="G538" s="8"/>
      <c r="H538" s="7"/>
      <c r="I538" s="29">
        <f t="shared" si="15"/>
        <v>0</v>
      </c>
    </row>
    <row r="539" spans="1:9" ht="94.5" x14ac:dyDescent="0.45">
      <c r="A539" s="40" t="s">
        <v>573</v>
      </c>
      <c r="B539" s="39" t="s">
        <v>42</v>
      </c>
      <c r="C539" s="41"/>
      <c r="D539" s="30"/>
      <c r="E539" s="30" t="s">
        <v>44</v>
      </c>
      <c r="F539" s="8"/>
      <c r="G539" s="8"/>
      <c r="H539" s="7"/>
      <c r="I539" s="29">
        <f t="shared" si="15"/>
        <v>0</v>
      </c>
    </row>
    <row r="540" spans="1:9" ht="94.5" x14ac:dyDescent="0.45">
      <c r="A540" s="40" t="s">
        <v>574</v>
      </c>
      <c r="B540" s="39" t="s">
        <v>42</v>
      </c>
      <c r="C540" s="41"/>
      <c r="D540" s="30"/>
      <c r="E540" s="30" t="s">
        <v>44</v>
      </c>
      <c r="F540" s="8"/>
      <c r="G540" s="8"/>
      <c r="H540" s="7"/>
      <c r="I540" s="29">
        <f t="shared" si="15"/>
        <v>0</v>
      </c>
    </row>
    <row r="541" spans="1:9" ht="94.5" x14ac:dyDescent="0.45">
      <c r="A541" s="40" t="s">
        <v>575</v>
      </c>
      <c r="B541" s="39" t="s">
        <v>42</v>
      </c>
      <c r="C541" s="41"/>
      <c r="D541" s="30"/>
      <c r="E541" s="30" t="s">
        <v>44</v>
      </c>
      <c r="F541" s="8"/>
      <c r="G541" s="8"/>
      <c r="H541" s="7"/>
      <c r="I541" s="29">
        <f t="shared" si="15"/>
        <v>0</v>
      </c>
    </row>
    <row r="542" spans="1:9" ht="94.5" x14ac:dyDescent="0.45">
      <c r="A542" s="40" t="s">
        <v>576</v>
      </c>
      <c r="B542" s="39" t="s">
        <v>42</v>
      </c>
      <c r="C542" s="41"/>
      <c r="D542" s="30"/>
      <c r="E542" s="30" t="s">
        <v>44</v>
      </c>
      <c r="F542" s="8"/>
      <c r="G542" s="8"/>
      <c r="H542" s="7"/>
      <c r="I542" s="29">
        <f t="shared" si="15"/>
        <v>0</v>
      </c>
    </row>
    <row r="543" spans="1:9" ht="94.5" x14ac:dyDescent="0.45">
      <c r="A543" s="40" t="s">
        <v>577</v>
      </c>
      <c r="B543" s="39" t="s">
        <v>42</v>
      </c>
      <c r="C543" s="41"/>
      <c r="D543" s="30"/>
      <c r="E543" s="30" t="s">
        <v>44</v>
      </c>
      <c r="F543" s="8"/>
      <c r="G543" s="8"/>
      <c r="H543" s="7"/>
      <c r="I543" s="29">
        <f t="shared" si="15"/>
        <v>0</v>
      </c>
    </row>
    <row r="544" spans="1:9" ht="94.5" x14ac:dyDescent="0.45">
      <c r="A544" s="40" t="s">
        <v>578</v>
      </c>
      <c r="B544" s="39" t="s">
        <v>42</v>
      </c>
      <c r="C544" s="41"/>
      <c r="D544" s="30"/>
      <c r="E544" s="30" t="s">
        <v>44</v>
      </c>
      <c r="F544" s="8"/>
      <c r="G544" s="8"/>
      <c r="H544" s="7"/>
      <c r="I544" s="29">
        <f t="shared" si="15"/>
        <v>0</v>
      </c>
    </row>
    <row r="545" spans="1:9" ht="94.5" x14ac:dyDescent="0.45">
      <c r="A545" s="40" t="s">
        <v>579</v>
      </c>
      <c r="B545" s="39" t="s">
        <v>42</v>
      </c>
      <c r="C545" s="41"/>
      <c r="D545" s="30"/>
      <c r="E545" s="30" t="s">
        <v>44</v>
      </c>
      <c r="F545" s="8"/>
      <c r="G545" s="8"/>
      <c r="H545" s="7"/>
      <c r="I545" s="29">
        <f t="shared" ref="I545:I608" si="16">F545*H545</f>
        <v>0</v>
      </c>
    </row>
    <row r="546" spans="1:9" ht="94.5" x14ac:dyDescent="0.45">
      <c r="A546" s="40" t="s">
        <v>580</v>
      </c>
      <c r="B546" s="39" t="s">
        <v>42</v>
      </c>
      <c r="C546" s="41"/>
      <c r="D546" s="30"/>
      <c r="E546" s="30" t="s">
        <v>44</v>
      </c>
      <c r="F546" s="8"/>
      <c r="G546" s="8"/>
      <c r="H546" s="7"/>
      <c r="I546" s="29">
        <f t="shared" si="16"/>
        <v>0</v>
      </c>
    </row>
    <row r="547" spans="1:9" ht="94.5" x14ac:dyDescent="0.45">
      <c r="A547" s="40" t="s">
        <v>581</v>
      </c>
      <c r="B547" s="39" t="s">
        <v>42</v>
      </c>
      <c r="C547" s="41"/>
      <c r="D547" s="30"/>
      <c r="E547" s="30" t="s">
        <v>44</v>
      </c>
      <c r="F547" s="8"/>
      <c r="G547" s="8"/>
      <c r="H547" s="7"/>
      <c r="I547" s="29">
        <f t="shared" si="16"/>
        <v>0</v>
      </c>
    </row>
    <row r="548" spans="1:9" ht="94.5" x14ac:dyDescent="0.45">
      <c r="A548" s="40" t="s">
        <v>582</v>
      </c>
      <c r="B548" s="39" t="s">
        <v>42</v>
      </c>
      <c r="C548" s="41"/>
      <c r="D548" s="30"/>
      <c r="E548" s="30" t="s">
        <v>44</v>
      </c>
      <c r="F548" s="8"/>
      <c r="G548" s="8"/>
      <c r="H548" s="7"/>
      <c r="I548" s="29">
        <f t="shared" si="16"/>
        <v>0</v>
      </c>
    </row>
    <row r="549" spans="1:9" ht="94.5" x14ac:dyDescent="0.45">
      <c r="A549" s="40" t="s">
        <v>583</v>
      </c>
      <c r="B549" s="39" t="s">
        <v>42</v>
      </c>
      <c r="C549" s="41"/>
      <c r="D549" s="30"/>
      <c r="E549" s="30" t="s">
        <v>44</v>
      </c>
      <c r="F549" s="8"/>
      <c r="G549" s="8"/>
      <c r="H549" s="7"/>
      <c r="I549" s="29">
        <f t="shared" si="16"/>
        <v>0</v>
      </c>
    </row>
    <row r="550" spans="1:9" ht="94.5" x14ac:dyDescent="0.45">
      <c r="A550" s="40" t="s">
        <v>584</v>
      </c>
      <c r="B550" s="39" t="s">
        <v>42</v>
      </c>
      <c r="C550" s="41"/>
      <c r="D550" s="30"/>
      <c r="E550" s="30" t="s">
        <v>44</v>
      </c>
      <c r="F550" s="8"/>
      <c r="G550" s="8"/>
      <c r="H550" s="7"/>
      <c r="I550" s="29">
        <f t="shared" si="16"/>
        <v>0</v>
      </c>
    </row>
    <row r="551" spans="1:9" ht="94.5" x14ac:dyDescent="0.45">
      <c r="A551" s="40" t="s">
        <v>585</v>
      </c>
      <c r="B551" s="39" t="s">
        <v>42</v>
      </c>
      <c r="C551" s="41"/>
      <c r="D551" s="30"/>
      <c r="E551" s="30" t="s">
        <v>44</v>
      </c>
      <c r="F551" s="8"/>
      <c r="G551" s="8"/>
      <c r="H551" s="7"/>
      <c r="I551" s="29">
        <f t="shared" si="16"/>
        <v>0</v>
      </c>
    </row>
    <row r="552" spans="1:9" ht="94.5" x14ac:dyDescent="0.45">
      <c r="A552" s="40" t="s">
        <v>586</v>
      </c>
      <c r="B552" s="39" t="s">
        <v>42</v>
      </c>
      <c r="C552" s="41"/>
      <c r="D552" s="30"/>
      <c r="E552" s="30" t="s">
        <v>44</v>
      </c>
      <c r="F552" s="8"/>
      <c r="G552" s="8"/>
      <c r="H552" s="7"/>
      <c r="I552" s="29">
        <f t="shared" si="16"/>
        <v>0</v>
      </c>
    </row>
    <row r="553" spans="1:9" ht="94.5" x14ac:dyDescent="0.45">
      <c r="A553" s="40" t="s">
        <v>587</v>
      </c>
      <c r="B553" s="39" t="s">
        <v>42</v>
      </c>
      <c r="C553" s="41"/>
      <c r="D553" s="30"/>
      <c r="E553" s="30" t="s">
        <v>44</v>
      </c>
      <c r="F553" s="8"/>
      <c r="G553" s="8"/>
      <c r="H553" s="7"/>
      <c r="I553" s="29">
        <f t="shared" si="16"/>
        <v>0</v>
      </c>
    </row>
    <row r="554" spans="1:9" ht="94.5" x14ac:dyDescent="0.45">
      <c r="A554" s="40" t="s">
        <v>588</v>
      </c>
      <c r="B554" s="39" t="s">
        <v>42</v>
      </c>
      <c r="C554" s="41"/>
      <c r="D554" s="30"/>
      <c r="E554" s="30" t="s">
        <v>44</v>
      </c>
      <c r="F554" s="8"/>
      <c r="G554" s="8"/>
      <c r="H554" s="7"/>
      <c r="I554" s="29">
        <f t="shared" si="16"/>
        <v>0</v>
      </c>
    </row>
    <row r="555" spans="1:9" ht="94.5" x14ac:dyDescent="0.45">
      <c r="A555" s="40" t="s">
        <v>589</v>
      </c>
      <c r="B555" s="39" t="s">
        <v>42</v>
      </c>
      <c r="C555" s="41"/>
      <c r="D555" s="30"/>
      <c r="E555" s="30" t="s">
        <v>44</v>
      </c>
      <c r="F555" s="8"/>
      <c r="G555" s="8"/>
      <c r="H555" s="7"/>
      <c r="I555" s="29">
        <f t="shared" si="16"/>
        <v>0</v>
      </c>
    </row>
    <row r="556" spans="1:9" ht="94.5" x14ac:dyDescent="0.45">
      <c r="A556" s="40" t="s">
        <v>590</v>
      </c>
      <c r="B556" s="39" t="s">
        <v>42</v>
      </c>
      <c r="C556" s="41"/>
      <c r="D556" s="30"/>
      <c r="E556" s="30" t="s">
        <v>44</v>
      </c>
      <c r="F556" s="8"/>
      <c r="G556" s="8"/>
      <c r="H556" s="7"/>
      <c r="I556" s="29">
        <f t="shared" si="16"/>
        <v>0</v>
      </c>
    </row>
    <row r="557" spans="1:9" ht="94.5" x14ac:dyDescent="0.45">
      <c r="A557" s="40" t="s">
        <v>591</v>
      </c>
      <c r="B557" s="39" t="s">
        <v>42</v>
      </c>
      <c r="C557" s="41"/>
      <c r="D557" s="30"/>
      <c r="E557" s="30" t="s">
        <v>44</v>
      </c>
      <c r="F557" s="8"/>
      <c r="G557" s="8"/>
      <c r="H557" s="7"/>
      <c r="I557" s="29">
        <f t="shared" si="16"/>
        <v>0</v>
      </c>
    </row>
    <row r="558" spans="1:9" ht="94.5" x14ac:dyDescent="0.45">
      <c r="A558" s="40" t="s">
        <v>592</v>
      </c>
      <c r="B558" s="39" t="s">
        <v>42</v>
      </c>
      <c r="C558" s="41"/>
      <c r="D558" s="30"/>
      <c r="E558" s="30" t="s">
        <v>44</v>
      </c>
      <c r="F558" s="8"/>
      <c r="G558" s="8"/>
      <c r="H558" s="7"/>
      <c r="I558" s="29">
        <f t="shared" si="16"/>
        <v>0</v>
      </c>
    </row>
    <row r="559" spans="1:9" ht="94.5" x14ac:dyDescent="0.45">
      <c r="A559" s="40" t="s">
        <v>593</v>
      </c>
      <c r="B559" s="39" t="s">
        <v>42</v>
      </c>
      <c r="C559" s="41"/>
      <c r="D559" s="30"/>
      <c r="E559" s="30" t="s">
        <v>44</v>
      </c>
      <c r="F559" s="8"/>
      <c r="G559" s="8"/>
      <c r="H559" s="7"/>
      <c r="I559" s="29">
        <f t="shared" si="16"/>
        <v>0</v>
      </c>
    </row>
    <row r="560" spans="1:9" ht="94.5" x14ac:dyDescent="0.45">
      <c r="A560" s="40" t="s">
        <v>594</v>
      </c>
      <c r="B560" s="39" t="s">
        <v>42</v>
      </c>
      <c r="C560" s="41"/>
      <c r="D560" s="30"/>
      <c r="E560" s="30" t="s">
        <v>44</v>
      </c>
      <c r="F560" s="8"/>
      <c r="G560" s="8"/>
      <c r="H560" s="7"/>
      <c r="I560" s="29">
        <f t="shared" si="16"/>
        <v>0</v>
      </c>
    </row>
    <row r="561" spans="1:9" ht="94.5" x14ac:dyDescent="0.45">
      <c r="A561" s="40" t="s">
        <v>595</v>
      </c>
      <c r="B561" s="39" t="s">
        <v>42</v>
      </c>
      <c r="C561" s="41"/>
      <c r="D561" s="30"/>
      <c r="E561" s="30" t="s">
        <v>44</v>
      </c>
      <c r="F561" s="8"/>
      <c r="G561" s="8"/>
      <c r="H561" s="7"/>
      <c r="I561" s="29">
        <f t="shared" si="16"/>
        <v>0</v>
      </c>
    </row>
    <row r="562" spans="1:9" ht="94.5" x14ac:dyDescent="0.45">
      <c r="A562" s="40" t="s">
        <v>596</v>
      </c>
      <c r="B562" s="39" t="s">
        <v>42</v>
      </c>
      <c r="C562" s="41"/>
      <c r="D562" s="30"/>
      <c r="E562" s="30" t="s">
        <v>44</v>
      </c>
      <c r="F562" s="8"/>
      <c r="G562" s="8"/>
      <c r="H562" s="7"/>
      <c r="I562" s="29">
        <f t="shared" si="16"/>
        <v>0</v>
      </c>
    </row>
    <row r="563" spans="1:9" ht="94.5" x14ac:dyDescent="0.45">
      <c r="A563" s="40" t="s">
        <v>597</v>
      </c>
      <c r="B563" s="39" t="s">
        <v>42</v>
      </c>
      <c r="C563" s="41"/>
      <c r="D563" s="30"/>
      <c r="E563" s="30" t="s">
        <v>44</v>
      </c>
      <c r="F563" s="8"/>
      <c r="G563" s="8"/>
      <c r="H563" s="7"/>
      <c r="I563" s="29">
        <f t="shared" si="16"/>
        <v>0</v>
      </c>
    </row>
    <row r="564" spans="1:9" ht="94.5" x14ac:dyDescent="0.45">
      <c r="A564" s="40" t="s">
        <v>598</v>
      </c>
      <c r="B564" s="39" t="s">
        <v>42</v>
      </c>
      <c r="C564" s="41"/>
      <c r="D564" s="30"/>
      <c r="E564" s="30" t="s">
        <v>44</v>
      </c>
      <c r="F564" s="8"/>
      <c r="G564" s="8"/>
      <c r="H564" s="7"/>
      <c r="I564" s="29">
        <f t="shared" si="16"/>
        <v>0</v>
      </c>
    </row>
    <row r="565" spans="1:9" ht="94.5" x14ac:dyDescent="0.45">
      <c r="A565" s="40" t="s">
        <v>599</v>
      </c>
      <c r="B565" s="39" t="s">
        <v>42</v>
      </c>
      <c r="C565" s="41"/>
      <c r="D565" s="30"/>
      <c r="E565" s="30" t="s">
        <v>44</v>
      </c>
      <c r="F565" s="8"/>
      <c r="G565" s="8"/>
      <c r="H565" s="7"/>
      <c r="I565" s="29">
        <f t="shared" si="16"/>
        <v>0</v>
      </c>
    </row>
    <row r="566" spans="1:9" ht="94.5" x14ac:dyDescent="0.45">
      <c r="A566" s="40" t="s">
        <v>600</v>
      </c>
      <c r="B566" s="39" t="s">
        <v>42</v>
      </c>
      <c r="C566" s="41"/>
      <c r="D566" s="30"/>
      <c r="E566" s="30" t="s">
        <v>44</v>
      </c>
      <c r="F566" s="8"/>
      <c r="G566" s="8"/>
      <c r="H566" s="7"/>
      <c r="I566" s="29">
        <f t="shared" si="16"/>
        <v>0</v>
      </c>
    </row>
    <row r="567" spans="1:9" ht="94.5" x14ac:dyDescent="0.45">
      <c r="A567" s="40" t="s">
        <v>601</v>
      </c>
      <c r="B567" s="39" t="s">
        <v>42</v>
      </c>
      <c r="C567" s="41"/>
      <c r="D567" s="30"/>
      <c r="E567" s="30" t="s">
        <v>44</v>
      </c>
      <c r="F567" s="8"/>
      <c r="G567" s="8"/>
      <c r="H567" s="7"/>
      <c r="I567" s="29">
        <f t="shared" si="16"/>
        <v>0</v>
      </c>
    </row>
    <row r="568" spans="1:9" ht="94.5" x14ac:dyDescent="0.45">
      <c r="A568" s="40" t="s">
        <v>602</v>
      </c>
      <c r="B568" s="39" t="s">
        <v>42</v>
      </c>
      <c r="C568" s="41"/>
      <c r="D568" s="30"/>
      <c r="E568" s="30" t="s">
        <v>44</v>
      </c>
      <c r="F568" s="8"/>
      <c r="G568" s="8"/>
      <c r="H568" s="7"/>
      <c r="I568" s="29">
        <f t="shared" si="16"/>
        <v>0</v>
      </c>
    </row>
    <row r="569" spans="1:9" ht="94.5" x14ac:dyDescent="0.45">
      <c r="A569" s="40" t="s">
        <v>603</v>
      </c>
      <c r="B569" s="39" t="s">
        <v>42</v>
      </c>
      <c r="C569" s="41"/>
      <c r="D569" s="30"/>
      <c r="E569" s="30" t="s">
        <v>44</v>
      </c>
      <c r="F569" s="8"/>
      <c r="G569" s="8"/>
      <c r="H569" s="7"/>
      <c r="I569" s="29">
        <f t="shared" si="16"/>
        <v>0</v>
      </c>
    </row>
    <row r="570" spans="1:9" ht="94.5" x14ac:dyDescent="0.45">
      <c r="A570" s="40" t="s">
        <v>604</v>
      </c>
      <c r="B570" s="39" t="s">
        <v>42</v>
      </c>
      <c r="C570" s="41"/>
      <c r="D570" s="30"/>
      <c r="E570" s="30" t="s">
        <v>44</v>
      </c>
      <c r="F570" s="8"/>
      <c r="G570" s="8"/>
      <c r="H570" s="7"/>
      <c r="I570" s="29">
        <f t="shared" si="16"/>
        <v>0</v>
      </c>
    </row>
    <row r="571" spans="1:9" ht="94.5" x14ac:dyDescent="0.45">
      <c r="A571" s="40" t="s">
        <v>605</v>
      </c>
      <c r="B571" s="39" t="s">
        <v>42</v>
      </c>
      <c r="C571" s="41"/>
      <c r="D571" s="30"/>
      <c r="E571" s="30" t="s">
        <v>44</v>
      </c>
      <c r="F571" s="8"/>
      <c r="G571" s="8"/>
      <c r="H571" s="7"/>
      <c r="I571" s="29">
        <f t="shared" si="16"/>
        <v>0</v>
      </c>
    </row>
    <row r="572" spans="1:9" ht="94.5" x14ac:dyDescent="0.45">
      <c r="A572" s="40" t="s">
        <v>606</v>
      </c>
      <c r="B572" s="39" t="s">
        <v>42</v>
      </c>
      <c r="C572" s="41"/>
      <c r="D572" s="30"/>
      <c r="E572" s="30" t="s">
        <v>44</v>
      </c>
      <c r="F572" s="8"/>
      <c r="G572" s="8"/>
      <c r="H572" s="7"/>
      <c r="I572" s="29">
        <f t="shared" si="16"/>
        <v>0</v>
      </c>
    </row>
    <row r="573" spans="1:9" ht="94.5" x14ac:dyDescent="0.45">
      <c r="A573" s="40" t="s">
        <v>607</v>
      </c>
      <c r="B573" s="39" t="s">
        <v>42</v>
      </c>
      <c r="C573" s="41"/>
      <c r="D573" s="30"/>
      <c r="E573" s="30" t="s">
        <v>44</v>
      </c>
      <c r="F573" s="8"/>
      <c r="G573" s="8"/>
      <c r="H573" s="7"/>
      <c r="I573" s="29">
        <f t="shared" si="16"/>
        <v>0</v>
      </c>
    </row>
    <row r="574" spans="1:9" ht="94.5" x14ac:dyDescent="0.45">
      <c r="A574" s="40" t="s">
        <v>608</v>
      </c>
      <c r="B574" s="39" t="s">
        <v>42</v>
      </c>
      <c r="C574" s="41"/>
      <c r="D574" s="30"/>
      <c r="E574" s="30" t="s">
        <v>44</v>
      </c>
      <c r="F574" s="8"/>
      <c r="G574" s="8"/>
      <c r="H574" s="7"/>
      <c r="I574" s="29">
        <f t="shared" si="16"/>
        <v>0</v>
      </c>
    </row>
    <row r="575" spans="1:9" ht="94.5" x14ac:dyDescent="0.45">
      <c r="A575" s="40" t="s">
        <v>609</v>
      </c>
      <c r="B575" s="39" t="s">
        <v>42</v>
      </c>
      <c r="C575" s="41"/>
      <c r="D575" s="30"/>
      <c r="E575" s="30" t="s">
        <v>44</v>
      </c>
      <c r="F575" s="8"/>
      <c r="G575" s="8"/>
      <c r="H575" s="7"/>
      <c r="I575" s="29">
        <f t="shared" si="16"/>
        <v>0</v>
      </c>
    </row>
    <row r="576" spans="1:9" ht="94.5" x14ac:dyDescent="0.45">
      <c r="A576" s="40" t="s">
        <v>610</v>
      </c>
      <c r="B576" s="39" t="s">
        <v>42</v>
      </c>
      <c r="C576" s="41"/>
      <c r="D576" s="30"/>
      <c r="E576" s="30" t="s">
        <v>44</v>
      </c>
      <c r="F576" s="8"/>
      <c r="G576" s="8"/>
      <c r="H576" s="7"/>
      <c r="I576" s="29">
        <f t="shared" si="16"/>
        <v>0</v>
      </c>
    </row>
    <row r="577" spans="1:9" ht="94.5" x14ac:dyDescent="0.45">
      <c r="A577" s="40" t="s">
        <v>611</v>
      </c>
      <c r="B577" s="39" t="s">
        <v>42</v>
      </c>
      <c r="C577" s="41"/>
      <c r="D577" s="30"/>
      <c r="E577" s="30" t="s">
        <v>44</v>
      </c>
      <c r="F577" s="8"/>
      <c r="G577" s="8"/>
      <c r="H577" s="7"/>
      <c r="I577" s="29">
        <f t="shared" si="16"/>
        <v>0</v>
      </c>
    </row>
    <row r="578" spans="1:9" ht="94.5" x14ac:dyDescent="0.45">
      <c r="A578" s="40" t="s">
        <v>612</v>
      </c>
      <c r="B578" s="39" t="s">
        <v>42</v>
      </c>
      <c r="C578" s="41"/>
      <c r="D578" s="30"/>
      <c r="E578" s="30" t="s">
        <v>44</v>
      </c>
      <c r="F578" s="8"/>
      <c r="G578" s="8"/>
      <c r="H578" s="7"/>
      <c r="I578" s="29">
        <f t="shared" si="16"/>
        <v>0</v>
      </c>
    </row>
    <row r="579" spans="1:9" ht="94.5" x14ac:dyDescent="0.45">
      <c r="A579" s="40" t="s">
        <v>613</v>
      </c>
      <c r="B579" s="39" t="s">
        <v>42</v>
      </c>
      <c r="C579" s="41"/>
      <c r="D579" s="30"/>
      <c r="E579" s="30" t="s">
        <v>44</v>
      </c>
      <c r="F579" s="8"/>
      <c r="G579" s="8"/>
      <c r="H579" s="7"/>
      <c r="I579" s="29">
        <f t="shared" si="16"/>
        <v>0</v>
      </c>
    </row>
    <row r="580" spans="1:9" ht="94.5" x14ac:dyDescent="0.45">
      <c r="A580" s="40" t="s">
        <v>614</v>
      </c>
      <c r="B580" s="39" t="s">
        <v>42</v>
      </c>
      <c r="C580" s="41"/>
      <c r="D580" s="30"/>
      <c r="E580" s="30" t="s">
        <v>44</v>
      </c>
      <c r="F580" s="8"/>
      <c r="G580" s="8"/>
      <c r="H580" s="7"/>
      <c r="I580" s="29">
        <f t="shared" si="16"/>
        <v>0</v>
      </c>
    </row>
    <row r="581" spans="1:9" ht="94.5" x14ac:dyDescent="0.45">
      <c r="A581" s="40" t="s">
        <v>615</v>
      </c>
      <c r="B581" s="39" t="s">
        <v>42</v>
      </c>
      <c r="C581" s="41"/>
      <c r="D581" s="30"/>
      <c r="E581" s="30" t="s">
        <v>44</v>
      </c>
      <c r="F581" s="8"/>
      <c r="G581" s="8"/>
      <c r="H581" s="7"/>
      <c r="I581" s="29">
        <f t="shared" si="16"/>
        <v>0</v>
      </c>
    </row>
    <row r="582" spans="1:9" ht="94.5" x14ac:dyDescent="0.45">
      <c r="A582" s="40" t="s">
        <v>616</v>
      </c>
      <c r="B582" s="39" t="s">
        <v>42</v>
      </c>
      <c r="C582" s="41"/>
      <c r="D582" s="30"/>
      <c r="E582" s="30" t="s">
        <v>44</v>
      </c>
      <c r="F582" s="8"/>
      <c r="G582" s="8"/>
      <c r="H582" s="7"/>
      <c r="I582" s="29">
        <f t="shared" si="16"/>
        <v>0</v>
      </c>
    </row>
    <row r="583" spans="1:9" ht="94.5" x14ac:dyDescent="0.45">
      <c r="A583" s="40" t="s">
        <v>617</v>
      </c>
      <c r="B583" s="39" t="s">
        <v>42</v>
      </c>
      <c r="C583" s="41"/>
      <c r="D583" s="30"/>
      <c r="E583" s="30" t="s">
        <v>44</v>
      </c>
      <c r="F583" s="8"/>
      <c r="G583" s="8"/>
      <c r="H583" s="7"/>
      <c r="I583" s="29">
        <f t="shared" si="16"/>
        <v>0</v>
      </c>
    </row>
    <row r="584" spans="1:9" ht="94.5" x14ac:dyDescent="0.45">
      <c r="A584" s="40" t="s">
        <v>618</v>
      </c>
      <c r="B584" s="39" t="s">
        <v>42</v>
      </c>
      <c r="C584" s="41"/>
      <c r="D584" s="30"/>
      <c r="E584" s="30" t="s">
        <v>44</v>
      </c>
      <c r="F584" s="8"/>
      <c r="G584" s="8"/>
      <c r="H584" s="7"/>
      <c r="I584" s="29">
        <f t="shared" si="16"/>
        <v>0</v>
      </c>
    </row>
    <row r="585" spans="1:9" ht="94.5" x14ac:dyDescent="0.45">
      <c r="A585" s="40" t="s">
        <v>619</v>
      </c>
      <c r="B585" s="39" t="s">
        <v>42</v>
      </c>
      <c r="C585" s="41"/>
      <c r="D585" s="30"/>
      <c r="E585" s="30" t="s">
        <v>44</v>
      </c>
      <c r="F585" s="8"/>
      <c r="G585" s="8"/>
      <c r="H585" s="7"/>
      <c r="I585" s="29">
        <f t="shared" si="16"/>
        <v>0</v>
      </c>
    </row>
    <row r="586" spans="1:9" ht="94.5" x14ac:dyDescent="0.45">
      <c r="A586" s="40" t="s">
        <v>620</v>
      </c>
      <c r="B586" s="39" t="s">
        <v>42</v>
      </c>
      <c r="C586" s="41"/>
      <c r="D586" s="30"/>
      <c r="E586" s="30" t="s">
        <v>44</v>
      </c>
      <c r="F586" s="8"/>
      <c r="G586" s="8"/>
      <c r="H586" s="7"/>
      <c r="I586" s="29">
        <f t="shared" si="16"/>
        <v>0</v>
      </c>
    </row>
    <row r="587" spans="1:9" ht="94.5" x14ac:dyDescent="0.45">
      <c r="A587" s="40" t="s">
        <v>621</v>
      </c>
      <c r="B587" s="39" t="s">
        <v>42</v>
      </c>
      <c r="C587" s="41"/>
      <c r="D587" s="30"/>
      <c r="E587" s="30" t="s">
        <v>44</v>
      </c>
      <c r="F587" s="8"/>
      <c r="G587" s="8"/>
      <c r="H587" s="7"/>
      <c r="I587" s="29">
        <f t="shared" si="16"/>
        <v>0</v>
      </c>
    </row>
    <row r="588" spans="1:9" ht="94.5" x14ac:dyDescent="0.45">
      <c r="A588" s="40" t="s">
        <v>622</v>
      </c>
      <c r="B588" s="39" t="s">
        <v>42</v>
      </c>
      <c r="C588" s="41"/>
      <c r="D588" s="30"/>
      <c r="E588" s="30" t="s">
        <v>44</v>
      </c>
      <c r="F588" s="8"/>
      <c r="G588" s="8"/>
      <c r="H588" s="7"/>
      <c r="I588" s="29">
        <f t="shared" si="16"/>
        <v>0</v>
      </c>
    </row>
    <row r="589" spans="1:9" ht="94.5" x14ac:dyDescent="0.45">
      <c r="A589" s="40" t="s">
        <v>623</v>
      </c>
      <c r="B589" s="39" t="s">
        <v>42</v>
      </c>
      <c r="C589" s="41"/>
      <c r="D589" s="30"/>
      <c r="E589" s="30" t="s">
        <v>44</v>
      </c>
      <c r="F589" s="8"/>
      <c r="G589" s="8"/>
      <c r="H589" s="7"/>
      <c r="I589" s="29">
        <f t="shared" si="16"/>
        <v>0</v>
      </c>
    </row>
    <row r="590" spans="1:9" ht="94.5" x14ac:dyDescent="0.45">
      <c r="A590" s="40" t="s">
        <v>624</v>
      </c>
      <c r="B590" s="39" t="s">
        <v>42</v>
      </c>
      <c r="C590" s="41"/>
      <c r="D590" s="30"/>
      <c r="E590" s="30" t="s">
        <v>44</v>
      </c>
      <c r="F590" s="8"/>
      <c r="G590" s="8"/>
      <c r="H590" s="7"/>
      <c r="I590" s="29">
        <f t="shared" si="16"/>
        <v>0</v>
      </c>
    </row>
    <row r="591" spans="1:9" ht="94.5" x14ac:dyDescent="0.45">
      <c r="A591" s="40" t="s">
        <v>625</v>
      </c>
      <c r="B591" s="39" t="s">
        <v>42</v>
      </c>
      <c r="C591" s="41"/>
      <c r="D591" s="30"/>
      <c r="E591" s="30" t="s">
        <v>44</v>
      </c>
      <c r="F591" s="8"/>
      <c r="G591" s="8"/>
      <c r="H591" s="7"/>
      <c r="I591" s="29">
        <f t="shared" si="16"/>
        <v>0</v>
      </c>
    </row>
    <row r="592" spans="1:9" ht="94.5" x14ac:dyDescent="0.45">
      <c r="A592" s="40" t="s">
        <v>626</v>
      </c>
      <c r="B592" s="39" t="s">
        <v>42</v>
      </c>
      <c r="C592" s="41"/>
      <c r="D592" s="30"/>
      <c r="E592" s="30" t="s">
        <v>44</v>
      </c>
      <c r="F592" s="8"/>
      <c r="G592" s="8"/>
      <c r="H592" s="7"/>
      <c r="I592" s="29">
        <f t="shared" si="16"/>
        <v>0</v>
      </c>
    </row>
    <row r="593" spans="1:9" ht="94.5" x14ac:dyDescent="0.45">
      <c r="A593" s="40" t="s">
        <v>627</v>
      </c>
      <c r="B593" s="39" t="s">
        <v>42</v>
      </c>
      <c r="C593" s="41"/>
      <c r="D593" s="30"/>
      <c r="E593" s="30" t="s">
        <v>44</v>
      </c>
      <c r="F593" s="8"/>
      <c r="G593" s="8"/>
      <c r="H593" s="7"/>
      <c r="I593" s="29">
        <f t="shared" si="16"/>
        <v>0</v>
      </c>
    </row>
    <row r="594" spans="1:9" ht="94.5" x14ac:dyDescent="0.45">
      <c r="A594" s="40" t="s">
        <v>628</v>
      </c>
      <c r="B594" s="39" t="s">
        <v>42</v>
      </c>
      <c r="C594" s="41"/>
      <c r="D594" s="30"/>
      <c r="E594" s="30" t="s">
        <v>44</v>
      </c>
      <c r="F594" s="8"/>
      <c r="G594" s="8"/>
      <c r="H594" s="7"/>
      <c r="I594" s="29">
        <f t="shared" si="16"/>
        <v>0</v>
      </c>
    </row>
    <row r="595" spans="1:9" ht="94.5" x14ac:dyDescent="0.45">
      <c r="A595" s="40" t="s">
        <v>629</v>
      </c>
      <c r="B595" s="39" t="s">
        <v>42</v>
      </c>
      <c r="C595" s="41"/>
      <c r="D595" s="30"/>
      <c r="E595" s="30" t="s">
        <v>44</v>
      </c>
      <c r="F595" s="8"/>
      <c r="G595" s="8"/>
      <c r="H595" s="7"/>
      <c r="I595" s="29">
        <f t="shared" si="16"/>
        <v>0</v>
      </c>
    </row>
    <row r="596" spans="1:9" ht="94.5" x14ac:dyDescent="0.45">
      <c r="A596" s="40" t="s">
        <v>630</v>
      </c>
      <c r="B596" s="39" t="s">
        <v>42</v>
      </c>
      <c r="C596" s="41"/>
      <c r="D596" s="30"/>
      <c r="E596" s="30" t="s">
        <v>44</v>
      </c>
      <c r="F596" s="8"/>
      <c r="G596" s="8"/>
      <c r="H596" s="7"/>
      <c r="I596" s="29">
        <f t="shared" si="16"/>
        <v>0</v>
      </c>
    </row>
    <row r="597" spans="1:9" ht="94.5" x14ac:dyDescent="0.45">
      <c r="A597" s="40" t="s">
        <v>631</v>
      </c>
      <c r="B597" s="39" t="s">
        <v>42</v>
      </c>
      <c r="C597" s="41"/>
      <c r="D597" s="30"/>
      <c r="E597" s="30" t="s">
        <v>44</v>
      </c>
      <c r="F597" s="8"/>
      <c r="G597" s="8"/>
      <c r="H597" s="7"/>
      <c r="I597" s="29">
        <f t="shared" si="16"/>
        <v>0</v>
      </c>
    </row>
    <row r="598" spans="1:9" ht="94.5" x14ac:dyDescent="0.45">
      <c r="A598" s="40" t="s">
        <v>632</v>
      </c>
      <c r="B598" s="39" t="s">
        <v>42</v>
      </c>
      <c r="C598" s="41"/>
      <c r="D598" s="30"/>
      <c r="E598" s="30" t="s">
        <v>44</v>
      </c>
      <c r="F598" s="8"/>
      <c r="G598" s="8"/>
      <c r="H598" s="7"/>
      <c r="I598" s="29">
        <f t="shared" si="16"/>
        <v>0</v>
      </c>
    </row>
    <row r="599" spans="1:9" ht="94.5" x14ac:dyDescent="0.45">
      <c r="A599" s="40" t="s">
        <v>633</v>
      </c>
      <c r="B599" s="39" t="s">
        <v>42</v>
      </c>
      <c r="C599" s="41"/>
      <c r="D599" s="30"/>
      <c r="E599" s="30" t="s">
        <v>44</v>
      </c>
      <c r="F599" s="8"/>
      <c r="G599" s="8"/>
      <c r="H599" s="7"/>
      <c r="I599" s="29">
        <f t="shared" si="16"/>
        <v>0</v>
      </c>
    </row>
    <row r="600" spans="1:9" ht="94.5" x14ac:dyDescent="0.45">
      <c r="A600" s="40" t="s">
        <v>634</v>
      </c>
      <c r="B600" s="39" t="s">
        <v>42</v>
      </c>
      <c r="C600" s="41"/>
      <c r="D600" s="30"/>
      <c r="E600" s="30" t="s">
        <v>44</v>
      </c>
      <c r="F600" s="8"/>
      <c r="G600" s="8"/>
      <c r="H600" s="7"/>
      <c r="I600" s="29">
        <f t="shared" si="16"/>
        <v>0</v>
      </c>
    </row>
    <row r="601" spans="1:9" ht="94.5" x14ac:dyDescent="0.45">
      <c r="A601" s="40" t="s">
        <v>635</v>
      </c>
      <c r="B601" s="39" t="s">
        <v>42</v>
      </c>
      <c r="C601" s="41"/>
      <c r="D601" s="30"/>
      <c r="E601" s="30" t="s">
        <v>44</v>
      </c>
      <c r="F601" s="8"/>
      <c r="G601" s="8"/>
      <c r="H601" s="7"/>
      <c r="I601" s="29">
        <f t="shared" si="16"/>
        <v>0</v>
      </c>
    </row>
    <row r="602" spans="1:9" ht="94.5" x14ac:dyDescent="0.45">
      <c r="A602" s="40" t="s">
        <v>636</v>
      </c>
      <c r="B602" s="39" t="s">
        <v>42</v>
      </c>
      <c r="C602" s="41"/>
      <c r="D602" s="30"/>
      <c r="E602" s="30" t="s">
        <v>44</v>
      </c>
      <c r="F602" s="8"/>
      <c r="G602" s="8"/>
      <c r="H602" s="7"/>
      <c r="I602" s="29">
        <f t="shared" si="16"/>
        <v>0</v>
      </c>
    </row>
    <row r="603" spans="1:9" ht="94.5" x14ac:dyDescent="0.45">
      <c r="A603" s="40" t="s">
        <v>637</v>
      </c>
      <c r="B603" s="39" t="s">
        <v>42</v>
      </c>
      <c r="C603" s="41"/>
      <c r="D603" s="30"/>
      <c r="E603" s="30" t="s">
        <v>44</v>
      </c>
      <c r="F603" s="8"/>
      <c r="G603" s="8"/>
      <c r="H603" s="7"/>
      <c r="I603" s="29">
        <f t="shared" si="16"/>
        <v>0</v>
      </c>
    </row>
    <row r="604" spans="1:9" ht="94.5" x14ac:dyDescent="0.45">
      <c r="A604" s="40" t="s">
        <v>638</v>
      </c>
      <c r="B604" s="39" t="s">
        <v>42</v>
      </c>
      <c r="C604" s="41"/>
      <c r="D604" s="30"/>
      <c r="E604" s="30" t="s">
        <v>44</v>
      </c>
      <c r="F604" s="8"/>
      <c r="G604" s="8"/>
      <c r="H604" s="7"/>
      <c r="I604" s="29">
        <f t="shared" si="16"/>
        <v>0</v>
      </c>
    </row>
    <row r="605" spans="1:9" ht="94.5" x14ac:dyDescent="0.45">
      <c r="A605" s="40" t="s">
        <v>639</v>
      </c>
      <c r="B605" s="39" t="s">
        <v>42</v>
      </c>
      <c r="C605" s="41"/>
      <c r="D605" s="30"/>
      <c r="E605" s="30" t="s">
        <v>44</v>
      </c>
      <c r="F605" s="8"/>
      <c r="G605" s="8"/>
      <c r="H605" s="7"/>
      <c r="I605" s="29">
        <f t="shared" si="16"/>
        <v>0</v>
      </c>
    </row>
    <row r="606" spans="1:9" ht="94.5" x14ac:dyDescent="0.45">
      <c r="A606" s="40" t="s">
        <v>640</v>
      </c>
      <c r="B606" s="39" t="s">
        <v>42</v>
      </c>
      <c r="C606" s="41"/>
      <c r="D606" s="30"/>
      <c r="E606" s="30" t="s">
        <v>44</v>
      </c>
      <c r="F606" s="8"/>
      <c r="G606" s="8"/>
      <c r="H606" s="7"/>
      <c r="I606" s="29">
        <f t="shared" si="16"/>
        <v>0</v>
      </c>
    </row>
    <row r="607" spans="1:9" ht="94.5" x14ac:dyDescent="0.45">
      <c r="A607" s="40" t="s">
        <v>641</v>
      </c>
      <c r="B607" s="39" t="s">
        <v>42</v>
      </c>
      <c r="C607" s="41"/>
      <c r="D607" s="30"/>
      <c r="E607" s="30" t="s">
        <v>44</v>
      </c>
      <c r="F607" s="8"/>
      <c r="G607" s="8"/>
      <c r="H607" s="7"/>
      <c r="I607" s="29">
        <f t="shared" si="16"/>
        <v>0</v>
      </c>
    </row>
    <row r="608" spans="1:9" ht="94.5" x14ac:dyDescent="0.45">
      <c r="A608" s="40" t="s">
        <v>642</v>
      </c>
      <c r="B608" s="39" t="s">
        <v>42</v>
      </c>
      <c r="C608" s="41"/>
      <c r="D608" s="30"/>
      <c r="E608" s="30" t="s">
        <v>44</v>
      </c>
      <c r="F608" s="8"/>
      <c r="G608" s="8"/>
      <c r="H608" s="7"/>
      <c r="I608" s="29">
        <f t="shared" si="16"/>
        <v>0</v>
      </c>
    </row>
    <row r="609" spans="1:9" ht="94.5" x14ac:dyDescent="0.45">
      <c r="A609" s="40" t="s">
        <v>643</v>
      </c>
      <c r="B609" s="39" t="s">
        <v>42</v>
      </c>
      <c r="C609" s="41"/>
      <c r="D609" s="30"/>
      <c r="E609" s="30" t="s">
        <v>44</v>
      </c>
      <c r="F609" s="8"/>
      <c r="G609" s="8"/>
      <c r="H609" s="7"/>
      <c r="I609" s="29">
        <f t="shared" ref="I609:I672" si="17">F609*H609</f>
        <v>0</v>
      </c>
    </row>
    <row r="610" spans="1:9" ht="94.5" x14ac:dyDescent="0.45">
      <c r="A610" s="40" t="s">
        <v>644</v>
      </c>
      <c r="B610" s="39" t="s">
        <v>42</v>
      </c>
      <c r="C610" s="41"/>
      <c r="D610" s="30"/>
      <c r="E610" s="30" t="s">
        <v>44</v>
      </c>
      <c r="F610" s="8"/>
      <c r="G610" s="8"/>
      <c r="H610" s="7"/>
      <c r="I610" s="29">
        <f t="shared" si="17"/>
        <v>0</v>
      </c>
    </row>
    <row r="611" spans="1:9" ht="94.5" x14ac:dyDescent="0.45">
      <c r="A611" s="40" t="s">
        <v>645</v>
      </c>
      <c r="B611" s="39" t="s">
        <v>42</v>
      </c>
      <c r="C611" s="41"/>
      <c r="D611" s="30"/>
      <c r="E611" s="30" t="s">
        <v>44</v>
      </c>
      <c r="F611" s="8"/>
      <c r="G611" s="8"/>
      <c r="H611" s="7"/>
      <c r="I611" s="29">
        <f t="shared" si="17"/>
        <v>0</v>
      </c>
    </row>
    <row r="612" spans="1:9" ht="94.5" x14ac:dyDescent="0.45">
      <c r="A612" s="40" t="s">
        <v>646</v>
      </c>
      <c r="B612" s="39" t="s">
        <v>42</v>
      </c>
      <c r="C612" s="41"/>
      <c r="D612" s="30"/>
      <c r="E612" s="30" t="s">
        <v>44</v>
      </c>
      <c r="F612" s="8"/>
      <c r="G612" s="8"/>
      <c r="H612" s="7"/>
      <c r="I612" s="29">
        <f t="shared" si="17"/>
        <v>0</v>
      </c>
    </row>
    <row r="613" spans="1:9" ht="94.5" x14ac:dyDescent="0.45">
      <c r="A613" s="40" t="s">
        <v>647</v>
      </c>
      <c r="B613" s="39" t="s">
        <v>42</v>
      </c>
      <c r="C613" s="41"/>
      <c r="D613" s="30"/>
      <c r="E613" s="30" t="s">
        <v>44</v>
      </c>
      <c r="F613" s="8"/>
      <c r="G613" s="8"/>
      <c r="H613" s="7"/>
      <c r="I613" s="29">
        <f t="shared" si="17"/>
        <v>0</v>
      </c>
    </row>
    <row r="614" spans="1:9" ht="94.5" x14ac:dyDescent="0.45">
      <c r="A614" s="40" t="s">
        <v>648</v>
      </c>
      <c r="B614" s="39" t="s">
        <v>42</v>
      </c>
      <c r="C614" s="41"/>
      <c r="D614" s="30"/>
      <c r="E614" s="30" t="s">
        <v>44</v>
      </c>
      <c r="F614" s="8"/>
      <c r="G614" s="8"/>
      <c r="H614" s="7"/>
      <c r="I614" s="29">
        <f t="shared" si="17"/>
        <v>0</v>
      </c>
    </row>
    <row r="615" spans="1:9" ht="94.5" x14ac:dyDescent="0.45">
      <c r="A615" s="40" t="s">
        <v>649</v>
      </c>
      <c r="B615" s="39" t="s">
        <v>42</v>
      </c>
      <c r="C615" s="41"/>
      <c r="D615" s="30"/>
      <c r="E615" s="30" t="s">
        <v>44</v>
      </c>
      <c r="F615" s="8"/>
      <c r="G615" s="8"/>
      <c r="H615" s="7"/>
      <c r="I615" s="29">
        <f t="shared" si="17"/>
        <v>0</v>
      </c>
    </row>
    <row r="616" spans="1:9" ht="94.5" x14ac:dyDescent="0.45">
      <c r="A616" s="40" t="s">
        <v>650</v>
      </c>
      <c r="B616" s="39" t="s">
        <v>42</v>
      </c>
      <c r="C616" s="41"/>
      <c r="D616" s="30"/>
      <c r="E616" s="30" t="s">
        <v>44</v>
      </c>
      <c r="F616" s="8"/>
      <c r="G616" s="8"/>
      <c r="H616" s="7"/>
      <c r="I616" s="29">
        <f t="shared" si="17"/>
        <v>0</v>
      </c>
    </row>
    <row r="617" spans="1:9" ht="94.5" x14ac:dyDescent="0.45">
      <c r="A617" s="40" t="s">
        <v>651</v>
      </c>
      <c r="B617" s="39" t="s">
        <v>42</v>
      </c>
      <c r="C617" s="41"/>
      <c r="D617" s="30"/>
      <c r="E617" s="30" t="s">
        <v>44</v>
      </c>
      <c r="F617" s="8"/>
      <c r="G617" s="8"/>
      <c r="H617" s="7"/>
      <c r="I617" s="29">
        <f t="shared" si="17"/>
        <v>0</v>
      </c>
    </row>
    <row r="618" spans="1:9" ht="94.5" x14ac:dyDescent="0.45">
      <c r="A618" s="40" t="s">
        <v>652</v>
      </c>
      <c r="B618" s="39" t="s">
        <v>42</v>
      </c>
      <c r="C618" s="41"/>
      <c r="D618" s="30"/>
      <c r="E618" s="30" t="s">
        <v>44</v>
      </c>
      <c r="F618" s="8"/>
      <c r="G618" s="8"/>
      <c r="H618" s="7"/>
      <c r="I618" s="29">
        <f t="shared" si="17"/>
        <v>0</v>
      </c>
    </row>
    <row r="619" spans="1:9" ht="94.5" x14ac:dyDescent="0.45">
      <c r="A619" s="40" t="s">
        <v>653</v>
      </c>
      <c r="B619" s="39" t="s">
        <v>42</v>
      </c>
      <c r="C619" s="41"/>
      <c r="D619" s="30"/>
      <c r="E619" s="30" t="s">
        <v>44</v>
      </c>
      <c r="F619" s="8"/>
      <c r="G619" s="8"/>
      <c r="H619" s="7"/>
      <c r="I619" s="29">
        <f t="shared" si="17"/>
        <v>0</v>
      </c>
    </row>
    <row r="620" spans="1:9" ht="94.5" x14ac:dyDescent="0.45">
      <c r="A620" s="40" t="s">
        <v>654</v>
      </c>
      <c r="B620" s="39" t="s">
        <v>42</v>
      </c>
      <c r="C620" s="41"/>
      <c r="D620" s="30"/>
      <c r="E620" s="30" t="s">
        <v>44</v>
      </c>
      <c r="F620" s="8"/>
      <c r="G620" s="8"/>
      <c r="H620" s="7"/>
      <c r="I620" s="29">
        <f t="shared" si="17"/>
        <v>0</v>
      </c>
    </row>
    <row r="621" spans="1:9" ht="94.5" x14ac:dyDescent="0.45">
      <c r="A621" s="40" t="s">
        <v>655</v>
      </c>
      <c r="B621" s="39" t="s">
        <v>42</v>
      </c>
      <c r="C621" s="41"/>
      <c r="D621" s="30"/>
      <c r="E621" s="30" t="s">
        <v>44</v>
      </c>
      <c r="F621" s="8"/>
      <c r="G621" s="8"/>
      <c r="H621" s="7"/>
      <c r="I621" s="29">
        <f t="shared" si="17"/>
        <v>0</v>
      </c>
    </row>
    <row r="622" spans="1:9" ht="94.5" x14ac:dyDescent="0.45">
      <c r="A622" s="40" t="s">
        <v>656</v>
      </c>
      <c r="B622" s="39" t="s">
        <v>42</v>
      </c>
      <c r="C622" s="41"/>
      <c r="D622" s="30"/>
      <c r="E622" s="30" t="s">
        <v>44</v>
      </c>
      <c r="F622" s="8"/>
      <c r="G622" s="8"/>
      <c r="H622" s="7"/>
      <c r="I622" s="29">
        <f t="shared" si="17"/>
        <v>0</v>
      </c>
    </row>
    <row r="623" spans="1:9" ht="94.5" x14ac:dyDescent="0.45">
      <c r="A623" s="40" t="s">
        <v>657</v>
      </c>
      <c r="B623" s="39" t="s">
        <v>42</v>
      </c>
      <c r="C623" s="41"/>
      <c r="D623" s="30"/>
      <c r="E623" s="30" t="s">
        <v>44</v>
      </c>
      <c r="F623" s="8"/>
      <c r="G623" s="8"/>
      <c r="H623" s="7"/>
      <c r="I623" s="29">
        <f t="shared" si="17"/>
        <v>0</v>
      </c>
    </row>
    <row r="624" spans="1:9" ht="94.5" x14ac:dyDescent="0.45">
      <c r="A624" s="40" t="s">
        <v>658</v>
      </c>
      <c r="B624" s="39" t="s">
        <v>42</v>
      </c>
      <c r="C624" s="41"/>
      <c r="D624" s="30"/>
      <c r="E624" s="30" t="s">
        <v>44</v>
      </c>
      <c r="F624" s="8"/>
      <c r="G624" s="8"/>
      <c r="H624" s="7"/>
      <c r="I624" s="29">
        <f t="shared" si="17"/>
        <v>0</v>
      </c>
    </row>
    <row r="625" spans="1:9" ht="94.5" x14ac:dyDescent="0.45">
      <c r="A625" s="40" t="s">
        <v>659</v>
      </c>
      <c r="B625" s="39" t="s">
        <v>42</v>
      </c>
      <c r="C625" s="41"/>
      <c r="D625" s="30"/>
      <c r="E625" s="30" t="s">
        <v>44</v>
      </c>
      <c r="F625" s="8"/>
      <c r="G625" s="8"/>
      <c r="H625" s="7"/>
      <c r="I625" s="29">
        <f t="shared" si="17"/>
        <v>0</v>
      </c>
    </row>
    <row r="626" spans="1:9" ht="94.5" x14ac:dyDescent="0.45">
      <c r="A626" s="40" t="s">
        <v>660</v>
      </c>
      <c r="B626" s="39" t="s">
        <v>42</v>
      </c>
      <c r="C626" s="41"/>
      <c r="D626" s="30"/>
      <c r="E626" s="30" t="s">
        <v>44</v>
      </c>
      <c r="F626" s="8"/>
      <c r="G626" s="8"/>
      <c r="H626" s="7"/>
      <c r="I626" s="29">
        <f t="shared" si="17"/>
        <v>0</v>
      </c>
    </row>
    <row r="627" spans="1:9" ht="94.5" x14ac:dyDescent="0.45">
      <c r="A627" s="40" t="s">
        <v>661</v>
      </c>
      <c r="B627" s="39" t="s">
        <v>42</v>
      </c>
      <c r="C627" s="41"/>
      <c r="D627" s="30"/>
      <c r="E627" s="30" t="s">
        <v>44</v>
      </c>
      <c r="F627" s="8"/>
      <c r="G627" s="8"/>
      <c r="H627" s="7"/>
      <c r="I627" s="29">
        <f t="shared" si="17"/>
        <v>0</v>
      </c>
    </row>
    <row r="628" spans="1:9" ht="94.5" x14ac:dyDescent="0.45">
      <c r="A628" s="40" t="s">
        <v>662</v>
      </c>
      <c r="B628" s="39" t="s">
        <v>42</v>
      </c>
      <c r="C628" s="41"/>
      <c r="D628" s="30"/>
      <c r="E628" s="30" t="s">
        <v>44</v>
      </c>
      <c r="F628" s="8"/>
      <c r="G628" s="8"/>
      <c r="H628" s="7"/>
      <c r="I628" s="29">
        <f t="shared" si="17"/>
        <v>0</v>
      </c>
    </row>
    <row r="629" spans="1:9" ht="94.5" x14ac:dyDescent="0.45">
      <c r="A629" s="40" t="s">
        <v>663</v>
      </c>
      <c r="B629" s="39" t="s">
        <v>42</v>
      </c>
      <c r="C629" s="41"/>
      <c r="D629" s="30"/>
      <c r="E629" s="30" t="s">
        <v>44</v>
      </c>
      <c r="F629" s="8"/>
      <c r="G629" s="8"/>
      <c r="H629" s="7"/>
      <c r="I629" s="29">
        <f t="shared" si="17"/>
        <v>0</v>
      </c>
    </row>
    <row r="630" spans="1:9" ht="94.5" x14ac:dyDescent="0.45">
      <c r="A630" s="40" t="s">
        <v>664</v>
      </c>
      <c r="B630" s="39" t="s">
        <v>42</v>
      </c>
      <c r="C630" s="41"/>
      <c r="D630" s="30"/>
      <c r="E630" s="30" t="s">
        <v>44</v>
      </c>
      <c r="F630" s="8"/>
      <c r="G630" s="8"/>
      <c r="H630" s="7"/>
      <c r="I630" s="29">
        <f t="shared" si="17"/>
        <v>0</v>
      </c>
    </row>
    <row r="631" spans="1:9" ht="94.5" x14ac:dyDescent="0.45">
      <c r="A631" s="40" t="s">
        <v>665</v>
      </c>
      <c r="B631" s="39" t="s">
        <v>42</v>
      </c>
      <c r="C631" s="41"/>
      <c r="D631" s="30"/>
      <c r="E631" s="30" t="s">
        <v>44</v>
      </c>
      <c r="F631" s="8"/>
      <c r="G631" s="8"/>
      <c r="H631" s="7"/>
      <c r="I631" s="29">
        <f t="shared" si="17"/>
        <v>0</v>
      </c>
    </row>
    <row r="632" spans="1:9" ht="94.5" x14ac:dyDescent="0.45">
      <c r="A632" s="40" t="s">
        <v>666</v>
      </c>
      <c r="B632" s="39" t="s">
        <v>42</v>
      </c>
      <c r="C632" s="41"/>
      <c r="D632" s="30"/>
      <c r="E632" s="30" t="s">
        <v>44</v>
      </c>
      <c r="F632" s="8"/>
      <c r="G632" s="8"/>
      <c r="H632" s="7"/>
      <c r="I632" s="29">
        <f t="shared" si="17"/>
        <v>0</v>
      </c>
    </row>
    <row r="633" spans="1:9" ht="94.5" x14ac:dyDescent="0.45">
      <c r="A633" s="40" t="s">
        <v>667</v>
      </c>
      <c r="B633" s="39" t="s">
        <v>42</v>
      </c>
      <c r="C633" s="41"/>
      <c r="D633" s="30"/>
      <c r="E633" s="30" t="s">
        <v>44</v>
      </c>
      <c r="F633" s="8"/>
      <c r="G633" s="8"/>
      <c r="H633" s="7"/>
      <c r="I633" s="29">
        <f t="shared" si="17"/>
        <v>0</v>
      </c>
    </row>
    <row r="634" spans="1:9" ht="94.5" x14ac:dyDescent="0.45">
      <c r="A634" s="40" t="s">
        <v>668</v>
      </c>
      <c r="B634" s="39" t="s">
        <v>42</v>
      </c>
      <c r="C634" s="41"/>
      <c r="D634" s="30"/>
      <c r="E634" s="30" t="s">
        <v>44</v>
      </c>
      <c r="F634" s="8"/>
      <c r="G634" s="8"/>
      <c r="H634" s="7"/>
      <c r="I634" s="29">
        <f t="shared" si="17"/>
        <v>0</v>
      </c>
    </row>
    <row r="635" spans="1:9" ht="94.5" x14ac:dyDescent="0.45">
      <c r="A635" s="40" t="s">
        <v>669</v>
      </c>
      <c r="B635" s="39" t="s">
        <v>42</v>
      </c>
      <c r="C635" s="41"/>
      <c r="D635" s="30"/>
      <c r="E635" s="30" t="s">
        <v>44</v>
      </c>
      <c r="F635" s="8"/>
      <c r="G635" s="8"/>
      <c r="H635" s="7"/>
      <c r="I635" s="29">
        <f t="shared" si="17"/>
        <v>0</v>
      </c>
    </row>
    <row r="636" spans="1:9" ht="94.5" x14ac:dyDescent="0.45">
      <c r="A636" s="40" t="s">
        <v>670</v>
      </c>
      <c r="B636" s="39" t="s">
        <v>42</v>
      </c>
      <c r="C636" s="41"/>
      <c r="D636" s="30"/>
      <c r="E636" s="30" t="s">
        <v>44</v>
      </c>
      <c r="F636" s="8"/>
      <c r="G636" s="8"/>
      <c r="H636" s="7"/>
      <c r="I636" s="29">
        <f t="shared" si="17"/>
        <v>0</v>
      </c>
    </row>
    <row r="637" spans="1:9" ht="94.5" x14ac:dyDescent="0.45">
      <c r="A637" s="40" t="s">
        <v>671</v>
      </c>
      <c r="B637" s="39" t="s">
        <v>42</v>
      </c>
      <c r="C637" s="41"/>
      <c r="D637" s="30"/>
      <c r="E637" s="30" t="s">
        <v>44</v>
      </c>
      <c r="F637" s="8"/>
      <c r="G637" s="8"/>
      <c r="H637" s="7"/>
      <c r="I637" s="29">
        <f t="shared" si="17"/>
        <v>0</v>
      </c>
    </row>
    <row r="638" spans="1:9" ht="94.5" x14ac:dyDescent="0.45">
      <c r="A638" s="40" t="s">
        <v>672</v>
      </c>
      <c r="B638" s="39" t="s">
        <v>42</v>
      </c>
      <c r="C638" s="41"/>
      <c r="D638" s="30"/>
      <c r="E638" s="30" t="s">
        <v>44</v>
      </c>
      <c r="F638" s="8"/>
      <c r="G638" s="8"/>
      <c r="H638" s="7"/>
      <c r="I638" s="29">
        <f t="shared" si="17"/>
        <v>0</v>
      </c>
    </row>
    <row r="639" spans="1:9" ht="94.5" x14ac:dyDescent="0.45">
      <c r="A639" s="40" t="s">
        <v>673</v>
      </c>
      <c r="B639" s="39" t="s">
        <v>42</v>
      </c>
      <c r="C639" s="41"/>
      <c r="D639" s="30"/>
      <c r="E639" s="30" t="s">
        <v>44</v>
      </c>
      <c r="F639" s="8"/>
      <c r="G639" s="8"/>
      <c r="H639" s="7"/>
      <c r="I639" s="29">
        <f t="shared" si="17"/>
        <v>0</v>
      </c>
    </row>
    <row r="640" spans="1:9" ht="94.5" x14ac:dyDescent="0.45">
      <c r="A640" s="40" t="s">
        <v>674</v>
      </c>
      <c r="B640" s="39" t="s">
        <v>42</v>
      </c>
      <c r="C640" s="41"/>
      <c r="D640" s="30"/>
      <c r="E640" s="30" t="s">
        <v>44</v>
      </c>
      <c r="F640" s="8"/>
      <c r="G640" s="8"/>
      <c r="H640" s="7"/>
      <c r="I640" s="29">
        <f t="shared" si="17"/>
        <v>0</v>
      </c>
    </row>
    <row r="641" spans="1:9" ht="94.5" x14ac:dyDescent="0.45">
      <c r="A641" s="40" t="s">
        <v>675</v>
      </c>
      <c r="B641" s="39" t="s">
        <v>42</v>
      </c>
      <c r="C641" s="41"/>
      <c r="D641" s="30"/>
      <c r="E641" s="30" t="s">
        <v>44</v>
      </c>
      <c r="F641" s="8"/>
      <c r="G641" s="8"/>
      <c r="H641" s="7"/>
      <c r="I641" s="29">
        <f t="shared" si="17"/>
        <v>0</v>
      </c>
    </row>
    <row r="642" spans="1:9" ht="94.5" x14ac:dyDescent="0.45">
      <c r="A642" s="40" t="s">
        <v>676</v>
      </c>
      <c r="B642" s="39" t="s">
        <v>42</v>
      </c>
      <c r="C642" s="41"/>
      <c r="D642" s="30"/>
      <c r="E642" s="30" t="s">
        <v>44</v>
      </c>
      <c r="F642" s="8"/>
      <c r="G642" s="8"/>
      <c r="H642" s="7"/>
      <c r="I642" s="29">
        <f t="shared" si="17"/>
        <v>0</v>
      </c>
    </row>
    <row r="643" spans="1:9" ht="94.5" x14ac:dyDescent="0.45">
      <c r="A643" s="40" t="s">
        <v>677</v>
      </c>
      <c r="B643" s="39" t="s">
        <v>42</v>
      </c>
      <c r="C643" s="41"/>
      <c r="D643" s="30"/>
      <c r="E643" s="30" t="s">
        <v>44</v>
      </c>
      <c r="F643" s="8"/>
      <c r="G643" s="8"/>
      <c r="H643" s="7"/>
      <c r="I643" s="29">
        <f t="shared" si="17"/>
        <v>0</v>
      </c>
    </row>
    <row r="644" spans="1:9" ht="94.5" x14ac:dyDescent="0.45">
      <c r="A644" s="40" t="s">
        <v>678</v>
      </c>
      <c r="B644" s="39" t="s">
        <v>42</v>
      </c>
      <c r="C644" s="41"/>
      <c r="D644" s="30"/>
      <c r="E644" s="30" t="s">
        <v>44</v>
      </c>
      <c r="F644" s="8"/>
      <c r="G644" s="8"/>
      <c r="H644" s="7"/>
      <c r="I644" s="29">
        <f t="shared" si="17"/>
        <v>0</v>
      </c>
    </row>
    <row r="645" spans="1:9" ht="94.5" x14ac:dyDescent="0.45">
      <c r="A645" s="40" t="s">
        <v>679</v>
      </c>
      <c r="B645" s="39" t="s">
        <v>42</v>
      </c>
      <c r="C645" s="41"/>
      <c r="D645" s="30"/>
      <c r="E645" s="30" t="s">
        <v>44</v>
      </c>
      <c r="F645" s="8"/>
      <c r="G645" s="8"/>
      <c r="H645" s="7"/>
      <c r="I645" s="29">
        <f t="shared" si="17"/>
        <v>0</v>
      </c>
    </row>
    <row r="646" spans="1:9" ht="94.5" x14ac:dyDescent="0.45">
      <c r="A646" s="40" t="s">
        <v>680</v>
      </c>
      <c r="B646" s="39" t="s">
        <v>42</v>
      </c>
      <c r="C646" s="41"/>
      <c r="D646" s="30"/>
      <c r="E646" s="30" t="s">
        <v>44</v>
      </c>
      <c r="F646" s="8"/>
      <c r="G646" s="8"/>
      <c r="H646" s="7"/>
      <c r="I646" s="29">
        <f t="shared" si="17"/>
        <v>0</v>
      </c>
    </row>
    <row r="647" spans="1:9" ht="94.5" x14ac:dyDescent="0.45">
      <c r="A647" s="40" t="s">
        <v>681</v>
      </c>
      <c r="B647" s="39" t="s">
        <v>42</v>
      </c>
      <c r="C647" s="41"/>
      <c r="D647" s="30"/>
      <c r="E647" s="30" t="s">
        <v>44</v>
      </c>
      <c r="F647" s="8"/>
      <c r="G647" s="8"/>
      <c r="H647" s="7"/>
      <c r="I647" s="29">
        <f t="shared" si="17"/>
        <v>0</v>
      </c>
    </row>
    <row r="648" spans="1:9" ht="94.5" x14ac:dyDescent="0.45">
      <c r="A648" s="40" t="s">
        <v>682</v>
      </c>
      <c r="B648" s="39" t="s">
        <v>42</v>
      </c>
      <c r="C648" s="41"/>
      <c r="D648" s="30"/>
      <c r="E648" s="30" t="s">
        <v>44</v>
      </c>
      <c r="F648" s="8"/>
      <c r="G648" s="8"/>
      <c r="H648" s="7"/>
      <c r="I648" s="29">
        <f t="shared" si="17"/>
        <v>0</v>
      </c>
    </row>
    <row r="649" spans="1:9" ht="94.5" x14ac:dyDescent="0.45">
      <c r="A649" s="40" t="s">
        <v>683</v>
      </c>
      <c r="B649" s="39" t="s">
        <v>42</v>
      </c>
      <c r="C649" s="41"/>
      <c r="D649" s="30"/>
      <c r="E649" s="30" t="s">
        <v>44</v>
      </c>
      <c r="F649" s="8"/>
      <c r="G649" s="8"/>
      <c r="H649" s="7"/>
      <c r="I649" s="29">
        <f t="shared" si="17"/>
        <v>0</v>
      </c>
    </row>
    <row r="650" spans="1:9" ht="94.5" x14ac:dyDescent="0.45">
      <c r="A650" s="40" t="s">
        <v>684</v>
      </c>
      <c r="B650" s="39" t="s">
        <v>42</v>
      </c>
      <c r="C650" s="41"/>
      <c r="D650" s="30"/>
      <c r="E650" s="30" t="s">
        <v>44</v>
      </c>
      <c r="F650" s="8"/>
      <c r="G650" s="8"/>
      <c r="H650" s="7"/>
      <c r="I650" s="29">
        <f t="shared" si="17"/>
        <v>0</v>
      </c>
    </row>
    <row r="651" spans="1:9" ht="94.5" x14ac:dyDescent="0.45">
      <c r="A651" s="40" t="s">
        <v>685</v>
      </c>
      <c r="B651" s="39" t="s">
        <v>42</v>
      </c>
      <c r="C651" s="41"/>
      <c r="D651" s="30"/>
      <c r="E651" s="30" t="s">
        <v>44</v>
      </c>
      <c r="F651" s="8"/>
      <c r="G651" s="8"/>
      <c r="H651" s="7"/>
      <c r="I651" s="29">
        <f t="shared" si="17"/>
        <v>0</v>
      </c>
    </row>
    <row r="652" spans="1:9" ht="94.5" x14ac:dyDescent="0.45">
      <c r="A652" s="40" t="s">
        <v>686</v>
      </c>
      <c r="B652" s="39" t="s">
        <v>42</v>
      </c>
      <c r="C652" s="41"/>
      <c r="D652" s="30"/>
      <c r="E652" s="30" t="s">
        <v>44</v>
      </c>
      <c r="F652" s="8"/>
      <c r="G652" s="8"/>
      <c r="H652" s="7"/>
      <c r="I652" s="29">
        <f t="shared" si="17"/>
        <v>0</v>
      </c>
    </row>
    <row r="653" spans="1:9" ht="94.5" x14ac:dyDescent="0.45">
      <c r="A653" s="40" t="s">
        <v>687</v>
      </c>
      <c r="B653" s="39" t="s">
        <v>42</v>
      </c>
      <c r="C653" s="41"/>
      <c r="D653" s="30"/>
      <c r="E653" s="30" t="s">
        <v>44</v>
      </c>
      <c r="F653" s="8"/>
      <c r="G653" s="8"/>
      <c r="H653" s="7"/>
      <c r="I653" s="29">
        <f t="shared" si="17"/>
        <v>0</v>
      </c>
    </row>
    <row r="654" spans="1:9" ht="94.5" x14ac:dyDescent="0.45">
      <c r="A654" s="40" t="s">
        <v>688</v>
      </c>
      <c r="B654" s="39" t="s">
        <v>42</v>
      </c>
      <c r="C654" s="41"/>
      <c r="D654" s="30"/>
      <c r="E654" s="30" t="s">
        <v>44</v>
      </c>
      <c r="F654" s="8"/>
      <c r="G654" s="8"/>
      <c r="H654" s="7"/>
      <c r="I654" s="29">
        <f t="shared" si="17"/>
        <v>0</v>
      </c>
    </row>
    <row r="655" spans="1:9" ht="94.5" x14ac:dyDescent="0.45">
      <c r="A655" s="40" t="s">
        <v>689</v>
      </c>
      <c r="B655" s="39" t="s">
        <v>42</v>
      </c>
      <c r="C655" s="41"/>
      <c r="D655" s="30"/>
      <c r="E655" s="30" t="s">
        <v>44</v>
      </c>
      <c r="F655" s="8"/>
      <c r="G655" s="8"/>
      <c r="H655" s="7"/>
      <c r="I655" s="29">
        <f t="shared" si="17"/>
        <v>0</v>
      </c>
    </row>
    <row r="656" spans="1:9" ht="94.5" x14ac:dyDescent="0.45">
      <c r="A656" s="40" t="s">
        <v>690</v>
      </c>
      <c r="B656" s="39" t="s">
        <v>42</v>
      </c>
      <c r="C656" s="41"/>
      <c r="D656" s="30"/>
      <c r="E656" s="30" t="s">
        <v>44</v>
      </c>
      <c r="F656" s="8"/>
      <c r="G656" s="8"/>
      <c r="H656" s="7"/>
      <c r="I656" s="29">
        <f t="shared" si="17"/>
        <v>0</v>
      </c>
    </row>
    <row r="657" spans="1:9" ht="94.5" x14ac:dyDescent="0.45">
      <c r="A657" s="40" t="s">
        <v>691</v>
      </c>
      <c r="B657" s="39" t="s">
        <v>42</v>
      </c>
      <c r="C657" s="41"/>
      <c r="D657" s="30"/>
      <c r="E657" s="30" t="s">
        <v>44</v>
      </c>
      <c r="F657" s="8"/>
      <c r="G657" s="8"/>
      <c r="H657" s="7"/>
      <c r="I657" s="29">
        <f t="shared" si="17"/>
        <v>0</v>
      </c>
    </row>
    <row r="658" spans="1:9" ht="94.5" x14ac:dyDescent="0.45">
      <c r="A658" s="40" t="s">
        <v>692</v>
      </c>
      <c r="B658" s="39" t="s">
        <v>42</v>
      </c>
      <c r="C658" s="41"/>
      <c r="D658" s="30"/>
      <c r="E658" s="30" t="s">
        <v>44</v>
      </c>
      <c r="F658" s="8"/>
      <c r="G658" s="8"/>
      <c r="H658" s="7"/>
      <c r="I658" s="29">
        <f t="shared" si="17"/>
        <v>0</v>
      </c>
    </row>
    <row r="659" spans="1:9" ht="94.5" x14ac:dyDescent="0.45">
      <c r="A659" s="40" t="s">
        <v>693</v>
      </c>
      <c r="B659" s="39" t="s">
        <v>42</v>
      </c>
      <c r="C659" s="41"/>
      <c r="D659" s="30"/>
      <c r="E659" s="30" t="s">
        <v>44</v>
      </c>
      <c r="F659" s="8"/>
      <c r="G659" s="8"/>
      <c r="H659" s="7"/>
      <c r="I659" s="29">
        <f t="shared" si="17"/>
        <v>0</v>
      </c>
    </row>
    <row r="660" spans="1:9" ht="94.5" x14ac:dyDescent="0.45">
      <c r="A660" s="40" t="s">
        <v>694</v>
      </c>
      <c r="B660" s="39" t="s">
        <v>42</v>
      </c>
      <c r="C660" s="41"/>
      <c r="D660" s="30"/>
      <c r="E660" s="30" t="s">
        <v>44</v>
      </c>
      <c r="F660" s="8"/>
      <c r="G660" s="8"/>
      <c r="H660" s="7"/>
      <c r="I660" s="29">
        <f t="shared" si="17"/>
        <v>0</v>
      </c>
    </row>
    <row r="661" spans="1:9" ht="94.5" x14ac:dyDescent="0.45">
      <c r="A661" s="40" t="s">
        <v>695</v>
      </c>
      <c r="B661" s="39" t="s">
        <v>42</v>
      </c>
      <c r="C661" s="41"/>
      <c r="D661" s="30"/>
      <c r="E661" s="30" t="s">
        <v>44</v>
      </c>
      <c r="F661" s="8"/>
      <c r="G661" s="8"/>
      <c r="H661" s="7"/>
      <c r="I661" s="29">
        <f t="shared" si="17"/>
        <v>0</v>
      </c>
    </row>
    <row r="662" spans="1:9" ht="94.5" x14ac:dyDescent="0.45">
      <c r="A662" s="40" t="s">
        <v>696</v>
      </c>
      <c r="B662" s="39" t="s">
        <v>42</v>
      </c>
      <c r="C662" s="41"/>
      <c r="D662" s="30"/>
      <c r="E662" s="30" t="s">
        <v>44</v>
      </c>
      <c r="F662" s="8"/>
      <c r="G662" s="8"/>
      <c r="H662" s="7"/>
      <c r="I662" s="29">
        <f t="shared" si="17"/>
        <v>0</v>
      </c>
    </row>
    <row r="663" spans="1:9" ht="94.5" x14ac:dyDescent="0.45">
      <c r="A663" s="40" t="s">
        <v>697</v>
      </c>
      <c r="B663" s="39" t="s">
        <v>42</v>
      </c>
      <c r="C663" s="41"/>
      <c r="D663" s="30"/>
      <c r="E663" s="30" t="s">
        <v>44</v>
      </c>
      <c r="F663" s="8"/>
      <c r="G663" s="8"/>
      <c r="H663" s="7"/>
      <c r="I663" s="29">
        <f t="shared" si="17"/>
        <v>0</v>
      </c>
    </row>
    <row r="664" spans="1:9" ht="94.5" x14ac:dyDescent="0.45">
      <c r="A664" s="40" t="s">
        <v>698</v>
      </c>
      <c r="B664" s="39" t="s">
        <v>42</v>
      </c>
      <c r="C664" s="41"/>
      <c r="D664" s="30"/>
      <c r="E664" s="30" t="s">
        <v>44</v>
      </c>
      <c r="F664" s="8"/>
      <c r="G664" s="8"/>
      <c r="H664" s="7"/>
      <c r="I664" s="29">
        <f t="shared" si="17"/>
        <v>0</v>
      </c>
    </row>
    <row r="665" spans="1:9" ht="94.5" x14ac:dyDescent="0.45">
      <c r="A665" s="40" t="s">
        <v>699</v>
      </c>
      <c r="B665" s="39" t="s">
        <v>42</v>
      </c>
      <c r="C665" s="41"/>
      <c r="D665" s="30"/>
      <c r="E665" s="30" t="s">
        <v>44</v>
      </c>
      <c r="F665" s="8"/>
      <c r="G665" s="8"/>
      <c r="H665" s="7"/>
      <c r="I665" s="29">
        <f t="shared" si="17"/>
        <v>0</v>
      </c>
    </row>
    <row r="666" spans="1:9" ht="94.5" x14ac:dyDescent="0.45">
      <c r="A666" s="40" t="s">
        <v>700</v>
      </c>
      <c r="B666" s="39" t="s">
        <v>42</v>
      </c>
      <c r="C666" s="41"/>
      <c r="D666" s="30"/>
      <c r="E666" s="30" t="s">
        <v>44</v>
      </c>
      <c r="F666" s="8"/>
      <c r="G666" s="8"/>
      <c r="H666" s="7"/>
      <c r="I666" s="29">
        <f t="shared" si="17"/>
        <v>0</v>
      </c>
    </row>
    <row r="667" spans="1:9" ht="94.5" x14ac:dyDescent="0.45">
      <c r="A667" s="40" t="s">
        <v>701</v>
      </c>
      <c r="B667" s="39" t="s">
        <v>42</v>
      </c>
      <c r="C667" s="41"/>
      <c r="D667" s="30"/>
      <c r="E667" s="30" t="s">
        <v>44</v>
      </c>
      <c r="F667" s="8"/>
      <c r="G667" s="8"/>
      <c r="H667" s="7"/>
      <c r="I667" s="29">
        <f t="shared" si="17"/>
        <v>0</v>
      </c>
    </row>
    <row r="668" spans="1:9" ht="94.5" x14ac:dyDescent="0.45">
      <c r="A668" s="40" t="s">
        <v>702</v>
      </c>
      <c r="B668" s="39" t="s">
        <v>42</v>
      </c>
      <c r="C668" s="41"/>
      <c r="D668" s="30"/>
      <c r="E668" s="30" t="s">
        <v>44</v>
      </c>
      <c r="F668" s="8"/>
      <c r="G668" s="8"/>
      <c r="H668" s="7"/>
      <c r="I668" s="29">
        <f t="shared" si="17"/>
        <v>0</v>
      </c>
    </row>
    <row r="669" spans="1:9" ht="94.5" x14ac:dyDescent="0.45">
      <c r="A669" s="40" t="s">
        <v>703</v>
      </c>
      <c r="B669" s="39" t="s">
        <v>42</v>
      </c>
      <c r="C669" s="41"/>
      <c r="D669" s="30"/>
      <c r="E669" s="30" t="s">
        <v>44</v>
      </c>
      <c r="F669" s="8"/>
      <c r="G669" s="8"/>
      <c r="H669" s="7"/>
      <c r="I669" s="29">
        <f t="shared" si="17"/>
        <v>0</v>
      </c>
    </row>
    <row r="670" spans="1:9" ht="94.5" x14ac:dyDescent="0.45">
      <c r="A670" s="40" t="s">
        <v>704</v>
      </c>
      <c r="B670" s="39" t="s">
        <v>42</v>
      </c>
      <c r="C670" s="41"/>
      <c r="D670" s="30"/>
      <c r="E670" s="30" t="s">
        <v>44</v>
      </c>
      <c r="F670" s="8"/>
      <c r="G670" s="8"/>
      <c r="H670" s="7"/>
      <c r="I670" s="29">
        <f t="shared" si="17"/>
        <v>0</v>
      </c>
    </row>
    <row r="671" spans="1:9" ht="94.5" x14ac:dyDescent="0.45">
      <c r="A671" s="40" t="s">
        <v>705</v>
      </c>
      <c r="B671" s="39" t="s">
        <v>42</v>
      </c>
      <c r="C671" s="41"/>
      <c r="D671" s="30"/>
      <c r="E671" s="30" t="s">
        <v>44</v>
      </c>
      <c r="F671" s="8"/>
      <c r="G671" s="8"/>
      <c r="H671" s="7"/>
      <c r="I671" s="29">
        <f t="shared" si="17"/>
        <v>0</v>
      </c>
    </row>
    <row r="672" spans="1:9" ht="94.5" x14ac:dyDescent="0.45">
      <c r="A672" s="40" t="s">
        <v>706</v>
      </c>
      <c r="B672" s="39" t="s">
        <v>42</v>
      </c>
      <c r="C672" s="41"/>
      <c r="D672" s="30"/>
      <c r="E672" s="30" t="s">
        <v>44</v>
      </c>
      <c r="F672" s="8"/>
      <c r="G672" s="8"/>
      <c r="H672" s="7"/>
      <c r="I672" s="29">
        <f t="shared" si="17"/>
        <v>0</v>
      </c>
    </row>
    <row r="673" spans="1:9" ht="94.5" x14ac:dyDescent="0.45">
      <c r="A673" s="40" t="s">
        <v>707</v>
      </c>
      <c r="B673" s="39" t="s">
        <v>42</v>
      </c>
      <c r="C673" s="41"/>
      <c r="D673" s="30"/>
      <c r="E673" s="30" t="s">
        <v>44</v>
      </c>
      <c r="F673" s="8"/>
      <c r="G673" s="8"/>
      <c r="H673" s="7"/>
      <c r="I673" s="29">
        <f t="shared" ref="I673:I736" si="18">F673*H673</f>
        <v>0</v>
      </c>
    </row>
    <row r="674" spans="1:9" ht="94.5" x14ac:dyDescent="0.45">
      <c r="A674" s="40" t="s">
        <v>708</v>
      </c>
      <c r="B674" s="39" t="s">
        <v>42</v>
      </c>
      <c r="C674" s="41"/>
      <c r="D674" s="30"/>
      <c r="E674" s="30" t="s">
        <v>44</v>
      </c>
      <c r="F674" s="8"/>
      <c r="G674" s="8"/>
      <c r="H674" s="7"/>
      <c r="I674" s="29">
        <f t="shared" si="18"/>
        <v>0</v>
      </c>
    </row>
    <row r="675" spans="1:9" ht="94.5" x14ac:dyDescent="0.45">
      <c r="A675" s="40" t="s">
        <v>709</v>
      </c>
      <c r="B675" s="39" t="s">
        <v>42</v>
      </c>
      <c r="C675" s="41"/>
      <c r="D675" s="30"/>
      <c r="E675" s="30" t="s">
        <v>44</v>
      </c>
      <c r="F675" s="8"/>
      <c r="G675" s="8"/>
      <c r="H675" s="7"/>
      <c r="I675" s="29">
        <f t="shared" si="18"/>
        <v>0</v>
      </c>
    </row>
    <row r="676" spans="1:9" ht="94.5" x14ac:dyDescent="0.45">
      <c r="A676" s="40" t="s">
        <v>710</v>
      </c>
      <c r="B676" s="39" t="s">
        <v>42</v>
      </c>
      <c r="C676" s="41"/>
      <c r="D676" s="30"/>
      <c r="E676" s="30" t="s">
        <v>44</v>
      </c>
      <c r="F676" s="8"/>
      <c r="G676" s="8"/>
      <c r="H676" s="7"/>
      <c r="I676" s="29">
        <f t="shared" si="18"/>
        <v>0</v>
      </c>
    </row>
    <row r="677" spans="1:9" ht="94.5" x14ac:dyDescent="0.45">
      <c r="A677" s="40" t="s">
        <v>711</v>
      </c>
      <c r="B677" s="39" t="s">
        <v>42</v>
      </c>
      <c r="C677" s="41"/>
      <c r="D677" s="30"/>
      <c r="E677" s="30" t="s">
        <v>44</v>
      </c>
      <c r="F677" s="8"/>
      <c r="G677" s="8"/>
      <c r="H677" s="7"/>
      <c r="I677" s="29">
        <f t="shared" si="18"/>
        <v>0</v>
      </c>
    </row>
    <row r="678" spans="1:9" ht="94.5" x14ac:dyDescent="0.45">
      <c r="A678" s="40" t="s">
        <v>712</v>
      </c>
      <c r="B678" s="39" t="s">
        <v>42</v>
      </c>
      <c r="C678" s="41"/>
      <c r="D678" s="30"/>
      <c r="E678" s="30" t="s">
        <v>44</v>
      </c>
      <c r="F678" s="8"/>
      <c r="G678" s="8"/>
      <c r="H678" s="7"/>
      <c r="I678" s="29">
        <f t="shared" si="18"/>
        <v>0</v>
      </c>
    </row>
    <row r="679" spans="1:9" ht="94.5" x14ac:dyDescent="0.45">
      <c r="A679" s="40" t="s">
        <v>713</v>
      </c>
      <c r="B679" s="39" t="s">
        <v>42</v>
      </c>
      <c r="C679" s="41"/>
      <c r="D679" s="30"/>
      <c r="E679" s="30" t="s">
        <v>44</v>
      </c>
      <c r="F679" s="8"/>
      <c r="G679" s="8"/>
      <c r="H679" s="7"/>
      <c r="I679" s="29">
        <f t="shared" si="18"/>
        <v>0</v>
      </c>
    </row>
    <row r="680" spans="1:9" ht="94.5" x14ac:dyDescent="0.45">
      <c r="A680" s="40" t="s">
        <v>714</v>
      </c>
      <c r="B680" s="39" t="s">
        <v>42</v>
      </c>
      <c r="C680" s="41"/>
      <c r="D680" s="30"/>
      <c r="E680" s="30" t="s">
        <v>44</v>
      </c>
      <c r="F680" s="8"/>
      <c r="G680" s="8"/>
      <c r="H680" s="7"/>
      <c r="I680" s="29">
        <f t="shared" si="18"/>
        <v>0</v>
      </c>
    </row>
    <row r="681" spans="1:9" ht="94.5" x14ac:dyDescent="0.45">
      <c r="A681" s="40" t="s">
        <v>715</v>
      </c>
      <c r="B681" s="39" t="s">
        <v>42</v>
      </c>
      <c r="C681" s="41"/>
      <c r="D681" s="30"/>
      <c r="E681" s="30" t="s">
        <v>44</v>
      </c>
      <c r="F681" s="8"/>
      <c r="G681" s="8"/>
      <c r="H681" s="7"/>
      <c r="I681" s="29">
        <f t="shared" si="18"/>
        <v>0</v>
      </c>
    </row>
    <row r="682" spans="1:9" ht="94.5" x14ac:dyDescent="0.45">
      <c r="A682" s="40" t="s">
        <v>716</v>
      </c>
      <c r="B682" s="39" t="s">
        <v>42</v>
      </c>
      <c r="C682" s="41"/>
      <c r="D682" s="30"/>
      <c r="E682" s="30" t="s">
        <v>44</v>
      </c>
      <c r="F682" s="8"/>
      <c r="G682" s="8"/>
      <c r="H682" s="7"/>
      <c r="I682" s="29">
        <f t="shared" si="18"/>
        <v>0</v>
      </c>
    </row>
    <row r="683" spans="1:9" ht="94.5" x14ac:dyDescent="0.45">
      <c r="A683" s="40" t="s">
        <v>717</v>
      </c>
      <c r="B683" s="39" t="s">
        <v>42</v>
      </c>
      <c r="C683" s="41"/>
      <c r="D683" s="30"/>
      <c r="E683" s="30" t="s">
        <v>44</v>
      </c>
      <c r="F683" s="8"/>
      <c r="G683" s="8"/>
      <c r="H683" s="7"/>
      <c r="I683" s="29">
        <f t="shared" si="18"/>
        <v>0</v>
      </c>
    </row>
    <row r="684" spans="1:9" ht="94.5" x14ac:dyDescent="0.45">
      <c r="A684" s="40" t="s">
        <v>718</v>
      </c>
      <c r="B684" s="39" t="s">
        <v>42</v>
      </c>
      <c r="C684" s="41"/>
      <c r="D684" s="30"/>
      <c r="E684" s="30" t="s">
        <v>44</v>
      </c>
      <c r="F684" s="8"/>
      <c r="G684" s="8"/>
      <c r="H684" s="7"/>
      <c r="I684" s="29">
        <f t="shared" si="18"/>
        <v>0</v>
      </c>
    </row>
    <row r="685" spans="1:9" ht="94.5" x14ac:dyDescent="0.45">
      <c r="A685" s="40" t="s">
        <v>719</v>
      </c>
      <c r="B685" s="39" t="s">
        <v>42</v>
      </c>
      <c r="C685" s="41"/>
      <c r="D685" s="30"/>
      <c r="E685" s="30" t="s">
        <v>44</v>
      </c>
      <c r="F685" s="8"/>
      <c r="G685" s="8"/>
      <c r="H685" s="7"/>
      <c r="I685" s="29">
        <f t="shared" si="18"/>
        <v>0</v>
      </c>
    </row>
    <row r="686" spans="1:9" ht="94.5" x14ac:dyDescent="0.45">
      <c r="A686" s="40" t="s">
        <v>720</v>
      </c>
      <c r="B686" s="39" t="s">
        <v>42</v>
      </c>
      <c r="C686" s="41"/>
      <c r="D686" s="30"/>
      <c r="E686" s="30" t="s">
        <v>44</v>
      </c>
      <c r="F686" s="8"/>
      <c r="G686" s="8"/>
      <c r="H686" s="7"/>
      <c r="I686" s="29">
        <f t="shared" si="18"/>
        <v>0</v>
      </c>
    </row>
    <row r="687" spans="1:9" ht="94.5" x14ac:dyDescent="0.45">
      <c r="A687" s="40" t="s">
        <v>721</v>
      </c>
      <c r="B687" s="39" t="s">
        <v>42</v>
      </c>
      <c r="C687" s="41"/>
      <c r="D687" s="30"/>
      <c r="E687" s="30" t="s">
        <v>44</v>
      </c>
      <c r="F687" s="8"/>
      <c r="G687" s="8"/>
      <c r="H687" s="7"/>
      <c r="I687" s="29">
        <f t="shared" si="18"/>
        <v>0</v>
      </c>
    </row>
    <row r="688" spans="1:9" ht="94.5" x14ac:dyDescent="0.45">
      <c r="A688" s="40" t="s">
        <v>722</v>
      </c>
      <c r="B688" s="39" t="s">
        <v>42</v>
      </c>
      <c r="C688" s="41"/>
      <c r="D688" s="30"/>
      <c r="E688" s="30" t="s">
        <v>44</v>
      </c>
      <c r="F688" s="8"/>
      <c r="G688" s="8"/>
      <c r="H688" s="7"/>
      <c r="I688" s="29">
        <f t="shared" si="18"/>
        <v>0</v>
      </c>
    </row>
    <row r="689" spans="1:9" ht="94.5" x14ac:dyDescent="0.45">
      <c r="A689" s="40" t="s">
        <v>723</v>
      </c>
      <c r="B689" s="39" t="s">
        <v>42</v>
      </c>
      <c r="C689" s="41"/>
      <c r="D689" s="30"/>
      <c r="E689" s="30" t="s">
        <v>44</v>
      </c>
      <c r="F689" s="8"/>
      <c r="G689" s="8"/>
      <c r="H689" s="7"/>
      <c r="I689" s="29">
        <f t="shared" si="18"/>
        <v>0</v>
      </c>
    </row>
    <row r="690" spans="1:9" ht="94.5" x14ac:dyDescent="0.45">
      <c r="A690" s="40" t="s">
        <v>724</v>
      </c>
      <c r="B690" s="39" t="s">
        <v>42</v>
      </c>
      <c r="C690" s="41"/>
      <c r="D690" s="30"/>
      <c r="E690" s="30" t="s">
        <v>44</v>
      </c>
      <c r="F690" s="8"/>
      <c r="G690" s="8"/>
      <c r="H690" s="7"/>
      <c r="I690" s="29">
        <f t="shared" si="18"/>
        <v>0</v>
      </c>
    </row>
    <row r="691" spans="1:9" ht="94.5" x14ac:dyDescent="0.45">
      <c r="A691" s="40" t="s">
        <v>725</v>
      </c>
      <c r="B691" s="39" t="s">
        <v>42</v>
      </c>
      <c r="C691" s="41"/>
      <c r="D691" s="30"/>
      <c r="E691" s="30" t="s">
        <v>44</v>
      </c>
      <c r="F691" s="8"/>
      <c r="G691" s="8"/>
      <c r="H691" s="7"/>
      <c r="I691" s="29">
        <f t="shared" si="18"/>
        <v>0</v>
      </c>
    </row>
    <row r="692" spans="1:9" ht="94.5" x14ac:dyDescent="0.45">
      <c r="A692" s="40" t="s">
        <v>726</v>
      </c>
      <c r="B692" s="39" t="s">
        <v>42</v>
      </c>
      <c r="C692" s="41"/>
      <c r="D692" s="30"/>
      <c r="E692" s="30" t="s">
        <v>44</v>
      </c>
      <c r="F692" s="8"/>
      <c r="G692" s="8"/>
      <c r="H692" s="7"/>
      <c r="I692" s="29">
        <f t="shared" si="18"/>
        <v>0</v>
      </c>
    </row>
    <row r="693" spans="1:9" ht="94.5" x14ac:dyDescent="0.45">
      <c r="A693" s="40" t="s">
        <v>727</v>
      </c>
      <c r="B693" s="39" t="s">
        <v>42</v>
      </c>
      <c r="C693" s="41"/>
      <c r="D693" s="30"/>
      <c r="E693" s="30" t="s">
        <v>44</v>
      </c>
      <c r="F693" s="8"/>
      <c r="G693" s="8"/>
      <c r="H693" s="7"/>
      <c r="I693" s="29">
        <f t="shared" si="18"/>
        <v>0</v>
      </c>
    </row>
    <row r="694" spans="1:9" ht="94.5" x14ac:dyDescent="0.45">
      <c r="A694" s="40" t="s">
        <v>728</v>
      </c>
      <c r="B694" s="39" t="s">
        <v>42</v>
      </c>
      <c r="C694" s="41"/>
      <c r="D694" s="30"/>
      <c r="E694" s="30" t="s">
        <v>44</v>
      </c>
      <c r="F694" s="8"/>
      <c r="G694" s="8"/>
      <c r="H694" s="7"/>
      <c r="I694" s="29">
        <f t="shared" si="18"/>
        <v>0</v>
      </c>
    </row>
    <row r="695" spans="1:9" ht="94.5" x14ac:dyDescent="0.45">
      <c r="A695" s="40" t="s">
        <v>729</v>
      </c>
      <c r="B695" s="39" t="s">
        <v>42</v>
      </c>
      <c r="C695" s="41"/>
      <c r="D695" s="30"/>
      <c r="E695" s="30" t="s">
        <v>44</v>
      </c>
      <c r="F695" s="8"/>
      <c r="G695" s="8"/>
      <c r="H695" s="7"/>
      <c r="I695" s="29">
        <f t="shared" si="18"/>
        <v>0</v>
      </c>
    </row>
    <row r="696" spans="1:9" ht="94.5" x14ac:dyDescent="0.45">
      <c r="A696" s="40" t="s">
        <v>730</v>
      </c>
      <c r="B696" s="39" t="s">
        <v>42</v>
      </c>
      <c r="C696" s="41"/>
      <c r="D696" s="30"/>
      <c r="E696" s="30" t="s">
        <v>44</v>
      </c>
      <c r="F696" s="8"/>
      <c r="G696" s="8"/>
      <c r="H696" s="7"/>
      <c r="I696" s="29">
        <f t="shared" si="18"/>
        <v>0</v>
      </c>
    </row>
    <row r="697" spans="1:9" ht="94.5" x14ac:dyDescent="0.45">
      <c r="A697" s="40" t="s">
        <v>731</v>
      </c>
      <c r="B697" s="39" t="s">
        <v>42</v>
      </c>
      <c r="C697" s="41"/>
      <c r="D697" s="30"/>
      <c r="E697" s="30" t="s">
        <v>44</v>
      </c>
      <c r="F697" s="8"/>
      <c r="G697" s="8"/>
      <c r="H697" s="7"/>
      <c r="I697" s="29">
        <f t="shared" si="18"/>
        <v>0</v>
      </c>
    </row>
    <row r="698" spans="1:9" ht="94.5" x14ac:dyDescent="0.45">
      <c r="A698" s="40" t="s">
        <v>732</v>
      </c>
      <c r="B698" s="39" t="s">
        <v>42</v>
      </c>
      <c r="C698" s="41"/>
      <c r="D698" s="30"/>
      <c r="E698" s="30" t="s">
        <v>44</v>
      </c>
      <c r="F698" s="8"/>
      <c r="G698" s="8"/>
      <c r="H698" s="7"/>
      <c r="I698" s="29">
        <f t="shared" si="18"/>
        <v>0</v>
      </c>
    </row>
    <row r="699" spans="1:9" ht="94.5" x14ac:dyDescent="0.45">
      <c r="A699" s="40" t="s">
        <v>733</v>
      </c>
      <c r="B699" s="39" t="s">
        <v>42</v>
      </c>
      <c r="C699" s="41"/>
      <c r="D699" s="30"/>
      <c r="E699" s="30" t="s">
        <v>44</v>
      </c>
      <c r="F699" s="8"/>
      <c r="G699" s="8"/>
      <c r="H699" s="7"/>
      <c r="I699" s="29">
        <f t="shared" si="18"/>
        <v>0</v>
      </c>
    </row>
    <row r="700" spans="1:9" ht="94.5" x14ac:dyDescent="0.45">
      <c r="A700" s="40" t="s">
        <v>734</v>
      </c>
      <c r="B700" s="39" t="s">
        <v>42</v>
      </c>
      <c r="C700" s="41"/>
      <c r="D700" s="30"/>
      <c r="E700" s="30" t="s">
        <v>44</v>
      </c>
      <c r="F700" s="8"/>
      <c r="G700" s="8"/>
      <c r="H700" s="7"/>
      <c r="I700" s="29">
        <f t="shared" si="18"/>
        <v>0</v>
      </c>
    </row>
    <row r="701" spans="1:9" ht="94.5" x14ac:dyDescent="0.45">
      <c r="A701" s="40" t="s">
        <v>735</v>
      </c>
      <c r="B701" s="39" t="s">
        <v>42</v>
      </c>
      <c r="C701" s="41"/>
      <c r="D701" s="30"/>
      <c r="E701" s="30" t="s">
        <v>44</v>
      </c>
      <c r="F701" s="8"/>
      <c r="G701" s="8"/>
      <c r="H701" s="7"/>
      <c r="I701" s="29">
        <f t="shared" si="18"/>
        <v>0</v>
      </c>
    </row>
    <row r="702" spans="1:9" ht="94.5" x14ac:dyDescent="0.45">
      <c r="A702" s="40" t="s">
        <v>736</v>
      </c>
      <c r="B702" s="39" t="s">
        <v>42</v>
      </c>
      <c r="C702" s="41"/>
      <c r="D702" s="30"/>
      <c r="E702" s="30" t="s">
        <v>44</v>
      </c>
      <c r="F702" s="8"/>
      <c r="G702" s="8"/>
      <c r="H702" s="7"/>
      <c r="I702" s="29">
        <f t="shared" si="18"/>
        <v>0</v>
      </c>
    </row>
    <row r="703" spans="1:9" ht="94.5" x14ac:dyDescent="0.45">
      <c r="A703" s="40" t="s">
        <v>737</v>
      </c>
      <c r="B703" s="39" t="s">
        <v>42</v>
      </c>
      <c r="C703" s="41"/>
      <c r="D703" s="30"/>
      <c r="E703" s="30" t="s">
        <v>44</v>
      </c>
      <c r="F703" s="8"/>
      <c r="G703" s="8"/>
      <c r="H703" s="7"/>
      <c r="I703" s="29">
        <f t="shared" si="18"/>
        <v>0</v>
      </c>
    </row>
    <row r="704" spans="1:9" ht="94.5" x14ac:dyDescent="0.45">
      <c r="A704" s="40" t="s">
        <v>738</v>
      </c>
      <c r="B704" s="39" t="s">
        <v>42</v>
      </c>
      <c r="C704" s="41"/>
      <c r="D704" s="30"/>
      <c r="E704" s="30" t="s">
        <v>44</v>
      </c>
      <c r="F704" s="8"/>
      <c r="G704" s="8"/>
      <c r="H704" s="7"/>
      <c r="I704" s="29">
        <f t="shared" si="18"/>
        <v>0</v>
      </c>
    </row>
    <row r="705" spans="1:9" ht="94.5" x14ac:dyDescent="0.45">
      <c r="A705" s="40" t="s">
        <v>739</v>
      </c>
      <c r="B705" s="39" t="s">
        <v>42</v>
      </c>
      <c r="C705" s="41"/>
      <c r="D705" s="30"/>
      <c r="E705" s="30" t="s">
        <v>44</v>
      </c>
      <c r="F705" s="8"/>
      <c r="G705" s="8"/>
      <c r="H705" s="7"/>
      <c r="I705" s="29">
        <f t="shared" si="18"/>
        <v>0</v>
      </c>
    </row>
    <row r="706" spans="1:9" ht="94.5" x14ac:dyDescent="0.45">
      <c r="A706" s="40" t="s">
        <v>740</v>
      </c>
      <c r="B706" s="39" t="s">
        <v>42</v>
      </c>
      <c r="C706" s="41"/>
      <c r="D706" s="30"/>
      <c r="E706" s="30" t="s">
        <v>44</v>
      </c>
      <c r="F706" s="8"/>
      <c r="G706" s="8"/>
      <c r="H706" s="7"/>
      <c r="I706" s="29">
        <f t="shared" si="18"/>
        <v>0</v>
      </c>
    </row>
    <row r="707" spans="1:9" ht="94.5" x14ac:dyDescent="0.45">
      <c r="A707" s="40" t="s">
        <v>741</v>
      </c>
      <c r="B707" s="39" t="s">
        <v>42</v>
      </c>
      <c r="C707" s="41"/>
      <c r="D707" s="30"/>
      <c r="E707" s="30" t="s">
        <v>44</v>
      </c>
      <c r="F707" s="8"/>
      <c r="G707" s="8"/>
      <c r="H707" s="7"/>
      <c r="I707" s="29">
        <f t="shared" si="18"/>
        <v>0</v>
      </c>
    </row>
    <row r="708" spans="1:9" ht="94.5" x14ac:dyDescent="0.45">
      <c r="A708" s="40" t="s">
        <v>742</v>
      </c>
      <c r="B708" s="39" t="s">
        <v>42</v>
      </c>
      <c r="C708" s="41"/>
      <c r="D708" s="30"/>
      <c r="E708" s="30" t="s">
        <v>44</v>
      </c>
      <c r="F708" s="8"/>
      <c r="G708" s="8"/>
      <c r="H708" s="7"/>
      <c r="I708" s="29">
        <f t="shared" si="18"/>
        <v>0</v>
      </c>
    </row>
    <row r="709" spans="1:9" ht="94.5" x14ac:dyDescent="0.45">
      <c r="A709" s="40" t="s">
        <v>743</v>
      </c>
      <c r="B709" s="39" t="s">
        <v>42</v>
      </c>
      <c r="C709" s="41"/>
      <c r="D709" s="30"/>
      <c r="E709" s="30" t="s">
        <v>44</v>
      </c>
      <c r="F709" s="8"/>
      <c r="G709" s="8"/>
      <c r="H709" s="7"/>
      <c r="I709" s="29">
        <f t="shared" si="18"/>
        <v>0</v>
      </c>
    </row>
    <row r="710" spans="1:9" ht="94.5" x14ac:dyDescent="0.45">
      <c r="A710" s="40" t="s">
        <v>744</v>
      </c>
      <c r="B710" s="39" t="s">
        <v>42</v>
      </c>
      <c r="C710" s="41"/>
      <c r="D710" s="30"/>
      <c r="E710" s="30" t="s">
        <v>44</v>
      </c>
      <c r="F710" s="8"/>
      <c r="G710" s="8"/>
      <c r="H710" s="7"/>
      <c r="I710" s="29">
        <f t="shared" si="18"/>
        <v>0</v>
      </c>
    </row>
    <row r="711" spans="1:9" ht="94.5" x14ac:dyDescent="0.45">
      <c r="A711" s="40" t="s">
        <v>745</v>
      </c>
      <c r="B711" s="39" t="s">
        <v>42</v>
      </c>
      <c r="C711" s="41"/>
      <c r="D711" s="30"/>
      <c r="E711" s="30" t="s">
        <v>44</v>
      </c>
      <c r="F711" s="8"/>
      <c r="G711" s="8"/>
      <c r="H711" s="7"/>
      <c r="I711" s="29">
        <f t="shared" si="18"/>
        <v>0</v>
      </c>
    </row>
    <row r="712" spans="1:9" ht="94.5" x14ac:dyDescent="0.45">
      <c r="A712" s="40" t="s">
        <v>746</v>
      </c>
      <c r="B712" s="39" t="s">
        <v>42</v>
      </c>
      <c r="C712" s="41"/>
      <c r="D712" s="30"/>
      <c r="E712" s="30" t="s">
        <v>44</v>
      </c>
      <c r="F712" s="8"/>
      <c r="G712" s="8"/>
      <c r="H712" s="7"/>
      <c r="I712" s="29">
        <f t="shared" si="18"/>
        <v>0</v>
      </c>
    </row>
    <row r="713" spans="1:9" ht="94.5" x14ac:dyDescent="0.45">
      <c r="A713" s="40" t="s">
        <v>747</v>
      </c>
      <c r="B713" s="39" t="s">
        <v>42</v>
      </c>
      <c r="C713" s="41"/>
      <c r="D713" s="30"/>
      <c r="E713" s="30" t="s">
        <v>44</v>
      </c>
      <c r="F713" s="8"/>
      <c r="G713" s="8"/>
      <c r="H713" s="7"/>
      <c r="I713" s="29">
        <f t="shared" si="18"/>
        <v>0</v>
      </c>
    </row>
    <row r="714" spans="1:9" ht="94.5" x14ac:dyDescent="0.45">
      <c r="A714" s="40" t="s">
        <v>748</v>
      </c>
      <c r="B714" s="39" t="s">
        <v>42</v>
      </c>
      <c r="C714" s="41"/>
      <c r="D714" s="30"/>
      <c r="E714" s="30" t="s">
        <v>44</v>
      </c>
      <c r="F714" s="8"/>
      <c r="G714" s="8"/>
      <c r="H714" s="7"/>
      <c r="I714" s="29">
        <f t="shared" si="18"/>
        <v>0</v>
      </c>
    </row>
    <row r="715" spans="1:9" ht="94.5" x14ac:dyDescent="0.45">
      <c r="A715" s="40" t="s">
        <v>749</v>
      </c>
      <c r="B715" s="39" t="s">
        <v>42</v>
      </c>
      <c r="C715" s="41"/>
      <c r="D715" s="30"/>
      <c r="E715" s="30" t="s">
        <v>44</v>
      </c>
      <c r="F715" s="8"/>
      <c r="G715" s="8"/>
      <c r="H715" s="7"/>
      <c r="I715" s="29">
        <f t="shared" si="18"/>
        <v>0</v>
      </c>
    </row>
    <row r="716" spans="1:9" ht="94.5" x14ac:dyDescent="0.45">
      <c r="A716" s="40" t="s">
        <v>750</v>
      </c>
      <c r="B716" s="39" t="s">
        <v>42</v>
      </c>
      <c r="C716" s="41"/>
      <c r="D716" s="30"/>
      <c r="E716" s="30" t="s">
        <v>44</v>
      </c>
      <c r="F716" s="8"/>
      <c r="G716" s="8"/>
      <c r="H716" s="7"/>
      <c r="I716" s="29">
        <f t="shared" si="18"/>
        <v>0</v>
      </c>
    </row>
    <row r="717" spans="1:9" ht="94.5" x14ac:dyDescent="0.45">
      <c r="A717" s="40" t="s">
        <v>751</v>
      </c>
      <c r="B717" s="39" t="s">
        <v>42</v>
      </c>
      <c r="C717" s="41"/>
      <c r="D717" s="30"/>
      <c r="E717" s="30" t="s">
        <v>44</v>
      </c>
      <c r="F717" s="8"/>
      <c r="G717" s="8"/>
      <c r="H717" s="7"/>
      <c r="I717" s="29">
        <f t="shared" si="18"/>
        <v>0</v>
      </c>
    </row>
    <row r="718" spans="1:9" ht="94.5" x14ac:dyDescent="0.45">
      <c r="A718" s="40" t="s">
        <v>752</v>
      </c>
      <c r="B718" s="39" t="s">
        <v>42</v>
      </c>
      <c r="C718" s="41"/>
      <c r="D718" s="30"/>
      <c r="E718" s="30" t="s">
        <v>44</v>
      </c>
      <c r="F718" s="8"/>
      <c r="G718" s="8"/>
      <c r="H718" s="7"/>
      <c r="I718" s="29">
        <f t="shared" si="18"/>
        <v>0</v>
      </c>
    </row>
    <row r="719" spans="1:9" ht="94.5" x14ac:dyDescent="0.45">
      <c r="A719" s="40" t="s">
        <v>753</v>
      </c>
      <c r="B719" s="39" t="s">
        <v>42</v>
      </c>
      <c r="C719" s="41"/>
      <c r="D719" s="30"/>
      <c r="E719" s="30" t="s">
        <v>44</v>
      </c>
      <c r="F719" s="8"/>
      <c r="G719" s="8"/>
      <c r="H719" s="7"/>
      <c r="I719" s="29">
        <f t="shared" si="18"/>
        <v>0</v>
      </c>
    </row>
    <row r="720" spans="1:9" ht="94.5" x14ac:dyDescent="0.45">
      <c r="A720" s="40" t="s">
        <v>754</v>
      </c>
      <c r="B720" s="39" t="s">
        <v>42</v>
      </c>
      <c r="C720" s="41"/>
      <c r="D720" s="30"/>
      <c r="E720" s="30" t="s">
        <v>44</v>
      </c>
      <c r="F720" s="8"/>
      <c r="G720" s="8"/>
      <c r="H720" s="7"/>
      <c r="I720" s="29">
        <f t="shared" si="18"/>
        <v>0</v>
      </c>
    </row>
    <row r="721" spans="1:9" ht="94.5" x14ac:dyDescent="0.45">
      <c r="A721" s="40" t="s">
        <v>755</v>
      </c>
      <c r="B721" s="39" t="s">
        <v>42</v>
      </c>
      <c r="C721" s="41"/>
      <c r="D721" s="30"/>
      <c r="E721" s="30" t="s">
        <v>44</v>
      </c>
      <c r="F721" s="8"/>
      <c r="G721" s="8"/>
      <c r="H721" s="7"/>
      <c r="I721" s="29">
        <f t="shared" si="18"/>
        <v>0</v>
      </c>
    </row>
    <row r="722" spans="1:9" ht="94.5" x14ac:dyDescent="0.45">
      <c r="A722" s="40" t="s">
        <v>756</v>
      </c>
      <c r="B722" s="39" t="s">
        <v>42</v>
      </c>
      <c r="C722" s="41"/>
      <c r="D722" s="30"/>
      <c r="E722" s="30" t="s">
        <v>44</v>
      </c>
      <c r="F722" s="8"/>
      <c r="G722" s="8"/>
      <c r="H722" s="7"/>
      <c r="I722" s="29">
        <f t="shared" si="18"/>
        <v>0</v>
      </c>
    </row>
    <row r="723" spans="1:9" ht="94.5" x14ac:dyDescent="0.45">
      <c r="A723" s="40" t="s">
        <v>757</v>
      </c>
      <c r="B723" s="39" t="s">
        <v>42</v>
      </c>
      <c r="C723" s="41"/>
      <c r="D723" s="30"/>
      <c r="E723" s="30" t="s">
        <v>44</v>
      </c>
      <c r="F723" s="8"/>
      <c r="G723" s="8"/>
      <c r="H723" s="7"/>
      <c r="I723" s="29">
        <f t="shared" si="18"/>
        <v>0</v>
      </c>
    </row>
    <row r="724" spans="1:9" ht="94.5" x14ac:dyDescent="0.45">
      <c r="A724" s="40" t="s">
        <v>758</v>
      </c>
      <c r="B724" s="39" t="s">
        <v>42</v>
      </c>
      <c r="C724" s="41"/>
      <c r="D724" s="30"/>
      <c r="E724" s="30" t="s">
        <v>44</v>
      </c>
      <c r="F724" s="8"/>
      <c r="G724" s="8"/>
      <c r="H724" s="7"/>
      <c r="I724" s="29">
        <f t="shared" si="18"/>
        <v>0</v>
      </c>
    </row>
    <row r="725" spans="1:9" ht="94.5" x14ac:dyDescent="0.45">
      <c r="A725" s="40" t="s">
        <v>759</v>
      </c>
      <c r="B725" s="39" t="s">
        <v>42</v>
      </c>
      <c r="C725" s="41"/>
      <c r="D725" s="30"/>
      <c r="E725" s="30" t="s">
        <v>44</v>
      </c>
      <c r="F725" s="8"/>
      <c r="G725" s="8"/>
      <c r="H725" s="7"/>
      <c r="I725" s="29">
        <f t="shared" si="18"/>
        <v>0</v>
      </c>
    </row>
    <row r="726" spans="1:9" ht="94.5" x14ac:dyDescent="0.45">
      <c r="A726" s="40" t="s">
        <v>760</v>
      </c>
      <c r="B726" s="39" t="s">
        <v>42</v>
      </c>
      <c r="C726" s="41"/>
      <c r="D726" s="30"/>
      <c r="E726" s="30" t="s">
        <v>44</v>
      </c>
      <c r="F726" s="8"/>
      <c r="G726" s="8"/>
      <c r="H726" s="7"/>
      <c r="I726" s="29">
        <f t="shared" si="18"/>
        <v>0</v>
      </c>
    </row>
    <row r="727" spans="1:9" ht="94.5" x14ac:dyDescent="0.45">
      <c r="A727" s="40" t="s">
        <v>761</v>
      </c>
      <c r="B727" s="39" t="s">
        <v>42</v>
      </c>
      <c r="C727" s="41"/>
      <c r="D727" s="30"/>
      <c r="E727" s="30" t="s">
        <v>44</v>
      </c>
      <c r="F727" s="8"/>
      <c r="G727" s="8"/>
      <c r="H727" s="7"/>
      <c r="I727" s="29">
        <f t="shared" si="18"/>
        <v>0</v>
      </c>
    </row>
    <row r="728" spans="1:9" ht="94.5" x14ac:dyDescent="0.45">
      <c r="A728" s="40" t="s">
        <v>762</v>
      </c>
      <c r="B728" s="39" t="s">
        <v>42</v>
      </c>
      <c r="C728" s="41"/>
      <c r="D728" s="30"/>
      <c r="E728" s="30" t="s">
        <v>44</v>
      </c>
      <c r="F728" s="8"/>
      <c r="G728" s="8"/>
      <c r="H728" s="7"/>
      <c r="I728" s="29">
        <f t="shared" si="18"/>
        <v>0</v>
      </c>
    </row>
    <row r="729" spans="1:9" ht="94.5" x14ac:dyDescent="0.45">
      <c r="A729" s="40" t="s">
        <v>763</v>
      </c>
      <c r="B729" s="39" t="s">
        <v>42</v>
      </c>
      <c r="C729" s="41"/>
      <c r="D729" s="30"/>
      <c r="E729" s="30" t="s">
        <v>44</v>
      </c>
      <c r="F729" s="8"/>
      <c r="G729" s="8"/>
      <c r="H729" s="7"/>
      <c r="I729" s="29">
        <f t="shared" si="18"/>
        <v>0</v>
      </c>
    </row>
    <row r="730" spans="1:9" ht="94.5" x14ac:dyDescent="0.45">
      <c r="A730" s="40" t="s">
        <v>764</v>
      </c>
      <c r="B730" s="39" t="s">
        <v>42</v>
      </c>
      <c r="C730" s="41"/>
      <c r="D730" s="30"/>
      <c r="E730" s="30" t="s">
        <v>44</v>
      </c>
      <c r="F730" s="8"/>
      <c r="G730" s="8"/>
      <c r="H730" s="7"/>
      <c r="I730" s="29">
        <f t="shared" si="18"/>
        <v>0</v>
      </c>
    </row>
    <row r="731" spans="1:9" ht="94.5" x14ac:dyDescent="0.45">
      <c r="A731" s="40" t="s">
        <v>765</v>
      </c>
      <c r="B731" s="39" t="s">
        <v>42</v>
      </c>
      <c r="C731" s="41"/>
      <c r="D731" s="30"/>
      <c r="E731" s="30" t="s">
        <v>44</v>
      </c>
      <c r="F731" s="8"/>
      <c r="G731" s="8"/>
      <c r="H731" s="7"/>
      <c r="I731" s="29">
        <f t="shared" si="18"/>
        <v>0</v>
      </c>
    </row>
    <row r="732" spans="1:9" ht="94.5" x14ac:dyDescent="0.45">
      <c r="A732" s="40" t="s">
        <v>766</v>
      </c>
      <c r="B732" s="39" t="s">
        <v>42</v>
      </c>
      <c r="C732" s="41"/>
      <c r="D732" s="30"/>
      <c r="E732" s="30" t="s">
        <v>44</v>
      </c>
      <c r="F732" s="8"/>
      <c r="G732" s="8"/>
      <c r="H732" s="7"/>
      <c r="I732" s="29">
        <f t="shared" si="18"/>
        <v>0</v>
      </c>
    </row>
    <row r="733" spans="1:9" ht="94.5" x14ac:dyDescent="0.45">
      <c r="A733" s="40" t="s">
        <v>767</v>
      </c>
      <c r="B733" s="39" t="s">
        <v>42</v>
      </c>
      <c r="C733" s="41"/>
      <c r="D733" s="30"/>
      <c r="E733" s="30" t="s">
        <v>44</v>
      </c>
      <c r="F733" s="8"/>
      <c r="G733" s="8"/>
      <c r="H733" s="7"/>
      <c r="I733" s="29">
        <f t="shared" si="18"/>
        <v>0</v>
      </c>
    </row>
    <row r="734" spans="1:9" ht="94.5" x14ac:dyDescent="0.45">
      <c r="A734" s="40" t="s">
        <v>768</v>
      </c>
      <c r="B734" s="39" t="s">
        <v>42</v>
      </c>
      <c r="C734" s="41"/>
      <c r="D734" s="30"/>
      <c r="E734" s="30" t="s">
        <v>44</v>
      </c>
      <c r="F734" s="8"/>
      <c r="G734" s="8"/>
      <c r="H734" s="7"/>
      <c r="I734" s="29">
        <f t="shared" si="18"/>
        <v>0</v>
      </c>
    </row>
    <row r="735" spans="1:9" ht="94.5" x14ac:dyDescent="0.45">
      <c r="A735" s="40" t="s">
        <v>769</v>
      </c>
      <c r="B735" s="39" t="s">
        <v>42</v>
      </c>
      <c r="C735" s="41"/>
      <c r="D735" s="30"/>
      <c r="E735" s="30" t="s">
        <v>44</v>
      </c>
      <c r="F735" s="8"/>
      <c r="G735" s="8"/>
      <c r="H735" s="7"/>
      <c r="I735" s="29">
        <f t="shared" si="18"/>
        <v>0</v>
      </c>
    </row>
    <row r="736" spans="1:9" ht="94.5" x14ac:dyDescent="0.45">
      <c r="A736" s="40" t="s">
        <v>770</v>
      </c>
      <c r="B736" s="39" t="s">
        <v>42</v>
      </c>
      <c r="C736" s="41"/>
      <c r="D736" s="30"/>
      <c r="E736" s="30" t="s">
        <v>44</v>
      </c>
      <c r="F736" s="8"/>
      <c r="G736" s="8"/>
      <c r="H736" s="7"/>
      <c r="I736" s="29">
        <f t="shared" si="18"/>
        <v>0</v>
      </c>
    </row>
    <row r="737" spans="1:9" ht="94.5" x14ac:dyDescent="0.45">
      <c r="A737" s="40" t="s">
        <v>771</v>
      </c>
      <c r="B737" s="39" t="s">
        <v>42</v>
      </c>
      <c r="C737" s="41"/>
      <c r="D737" s="30"/>
      <c r="E737" s="30" t="s">
        <v>44</v>
      </c>
      <c r="F737" s="8"/>
      <c r="G737" s="8"/>
      <c r="H737" s="7"/>
      <c r="I737" s="29">
        <f t="shared" ref="I737:I800" si="19">F737*H737</f>
        <v>0</v>
      </c>
    </row>
    <row r="738" spans="1:9" ht="94.5" x14ac:dyDescent="0.45">
      <c r="A738" s="40" t="s">
        <v>772</v>
      </c>
      <c r="B738" s="39" t="s">
        <v>42</v>
      </c>
      <c r="C738" s="41"/>
      <c r="D738" s="30"/>
      <c r="E738" s="30" t="s">
        <v>44</v>
      </c>
      <c r="F738" s="8"/>
      <c r="G738" s="8"/>
      <c r="H738" s="7"/>
      <c r="I738" s="29">
        <f t="shared" si="19"/>
        <v>0</v>
      </c>
    </row>
    <row r="739" spans="1:9" ht="94.5" x14ac:dyDescent="0.45">
      <c r="A739" s="40" t="s">
        <v>773</v>
      </c>
      <c r="B739" s="39" t="s">
        <v>42</v>
      </c>
      <c r="C739" s="41"/>
      <c r="D739" s="30"/>
      <c r="E739" s="30" t="s">
        <v>44</v>
      </c>
      <c r="F739" s="8"/>
      <c r="G739" s="8"/>
      <c r="H739" s="7"/>
      <c r="I739" s="29">
        <f t="shared" si="19"/>
        <v>0</v>
      </c>
    </row>
    <row r="740" spans="1:9" ht="94.5" x14ac:dyDescent="0.45">
      <c r="A740" s="40" t="s">
        <v>774</v>
      </c>
      <c r="B740" s="39" t="s">
        <v>42</v>
      </c>
      <c r="C740" s="41"/>
      <c r="D740" s="30"/>
      <c r="E740" s="30" t="s">
        <v>44</v>
      </c>
      <c r="F740" s="8"/>
      <c r="G740" s="8"/>
      <c r="H740" s="7"/>
      <c r="I740" s="29">
        <f t="shared" si="19"/>
        <v>0</v>
      </c>
    </row>
    <row r="741" spans="1:9" ht="94.5" x14ac:dyDescent="0.45">
      <c r="A741" s="40" t="s">
        <v>775</v>
      </c>
      <c r="B741" s="39" t="s">
        <v>42</v>
      </c>
      <c r="C741" s="41"/>
      <c r="D741" s="30"/>
      <c r="E741" s="30" t="s">
        <v>44</v>
      </c>
      <c r="F741" s="8"/>
      <c r="G741" s="8"/>
      <c r="H741" s="7"/>
      <c r="I741" s="29">
        <f t="shared" si="19"/>
        <v>0</v>
      </c>
    </row>
    <row r="742" spans="1:9" ht="94.5" x14ac:dyDescent="0.45">
      <c r="A742" s="40" t="s">
        <v>776</v>
      </c>
      <c r="B742" s="39" t="s">
        <v>42</v>
      </c>
      <c r="C742" s="41"/>
      <c r="D742" s="30"/>
      <c r="E742" s="30" t="s">
        <v>44</v>
      </c>
      <c r="F742" s="8"/>
      <c r="G742" s="8"/>
      <c r="H742" s="7"/>
      <c r="I742" s="29">
        <f t="shared" si="19"/>
        <v>0</v>
      </c>
    </row>
    <row r="743" spans="1:9" ht="94.5" x14ac:dyDescent="0.45">
      <c r="A743" s="40" t="s">
        <v>777</v>
      </c>
      <c r="B743" s="39" t="s">
        <v>42</v>
      </c>
      <c r="C743" s="41"/>
      <c r="D743" s="30"/>
      <c r="E743" s="30" t="s">
        <v>44</v>
      </c>
      <c r="F743" s="8"/>
      <c r="G743" s="8"/>
      <c r="H743" s="7"/>
      <c r="I743" s="29">
        <f t="shared" si="19"/>
        <v>0</v>
      </c>
    </row>
    <row r="744" spans="1:9" ht="94.5" x14ac:dyDescent="0.45">
      <c r="A744" s="40" t="s">
        <v>778</v>
      </c>
      <c r="B744" s="39" t="s">
        <v>42</v>
      </c>
      <c r="C744" s="41"/>
      <c r="D744" s="30"/>
      <c r="E744" s="30" t="s">
        <v>44</v>
      </c>
      <c r="F744" s="8"/>
      <c r="G744" s="8"/>
      <c r="H744" s="7"/>
      <c r="I744" s="29">
        <f t="shared" si="19"/>
        <v>0</v>
      </c>
    </row>
    <row r="745" spans="1:9" ht="94.5" x14ac:dyDescent="0.45">
      <c r="A745" s="40" t="s">
        <v>779</v>
      </c>
      <c r="B745" s="39" t="s">
        <v>42</v>
      </c>
      <c r="C745" s="41"/>
      <c r="D745" s="30"/>
      <c r="E745" s="30" t="s">
        <v>44</v>
      </c>
      <c r="F745" s="8"/>
      <c r="G745" s="8"/>
      <c r="H745" s="7"/>
      <c r="I745" s="29">
        <f t="shared" si="19"/>
        <v>0</v>
      </c>
    </row>
    <row r="746" spans="1:9" ht="94.5" x14ac:dyDescent="0.45">
      <c r="A746" s="40" t="s">
        <v>780</v>
      </c>
      <c r="B746" s="39" t="s">
        <v>42</v>
      </c>
      <c r="C746" s="41"/>
      <c r="D746" s="30"/>
      <c r="E746" s="30" t="s">
        <v>44</v>
      </c>
      <c r="F746" s="8"/>
      <c r="G746" s="8"/>
      <c r="H746" s="7"/>
      <c r="I746" s="29">
        <f t="shared" si="19"/>
        <v>0</v>
      </c>
    </row>
    <row r="747" spans="1:9" ht="94.5" x14ac:dyDescent="0.45">
      <c r="A747" s="40" t="s">
        <v>781</v>
      </c>
      <c r="B747" s="39" t="s">
        <v>42</v>
      </c>
      <c r="C747" s="41"/>
      <c r="D747" s="30"/>
      <c r="E747" s="30" t="s">
        <v>44</v>
      </c>
      <c r="F747" s="8"/>
      <c r="G747" s="8"/>
      <c r="H747" s="7"/>
      <c r="I747" s="29">
        <f t="shared" si="19"/>
        <v>0</v>
      </c>
    </row>
    <row r="748" spans="1:9" ht="94.5" x14ac:dyDescent="0.45">
      <c r="A748" s="40" t="s">
        <v>782</v>
      </c>
      <c r="B748" s="39" t="s">
        <v>42</v>
      </c>
      <c r="C748" s="41"/>
      <c r="D748" s="30"/>
      <c r="E748" s="30" t="s">
        <v>44</v>
      </c>
      <c r="F748" s="8"/>
      <c r="G748" s="8"/>
      <c r="H748" s="7"/>
      <c r="I748" s="29">
        <f t="shared" si="19"/>
        <v>0</v>
      </c>
    </row>
    <row r="749" spans="1:9" ht="94.5" x14ac:dyDescent="0.45">
      <c r="A749" s="40" t="s">
        <v>783</v>
      </c>
      <c r="B749" s="39" t="s">
        <v>42</v>
      </c>
      <c r="C749" s="41"/>
      <c r="D749" s="30"/>
      <c r="E749" s="30" t="s">
        <v>44</v>
      </c>
      <c r="F749" s="8"/>
      <c r="G749" s="8"/>
      <c r="H749" s="7"/>
      <c r="I749" s="29">
        <f t="shared" si="19"/>
        <v>0</v>
      </c>
    </row>
    <row r="750" spans="1:9" ht="94.5" x14ac:dyDescent="0.45">
      <c r="A750" s="40" t="s">
        <v>784</v>
      </c>
      <c r="B750" s="39" t="s">
        <v>42</v>
      </c>
      <c r="C750" s="41"/>
      <c r="D750" s="30"/>
      <c r="E750" s="30" t="s">
        <v>44</v>
      </c>
      <c r="F750" s="8"/>
      <c r="G750" s="8"/>
      <c r="H750" s="7"/>
      <c r="I750" s="29">
        <f t="shared" si="19"/>
        <v>0</v>
      </c>
    </row>
    <row r="751" spans="1:9" ht="94.5" x14ac:dyDescent="0.45">
      <c r="A751" s="40" t="s">
        <v>785</v>
      </c>
      <c r="B751" s="39" t="s">
        <v>42</v>
      </c>
      <c r="C751" s="41"/>
      <c r="D751" s="30"/>
      <c r="E751" s="30" t="s">
        <v>44</v>
      </c>
      <c r="F751" s="8"/>
      <c r="G751" s="8"/>
      <c r="H751" s="7"/>
      <c r="I751" s="29">
        <f t="shared" si="19"/>
        <v>0</v>
      </c>
    </row>
    <row r="752" spans="1:9" ht="94.5" x14ac:dyDescent="0.45">
      <c r="A752" s="40" t="s">
        <v>786</v>
      </c>
      <c r="B752" s="39" t="s">
        <v>42</v>
      </c>
      <c r="C752" s="41"/>
      <c r="D752" s="30"/>
      <c r="E752" s="30" t="s">
        <v>44</v>
      </c>
      <c r="F752" s="8"/>
      <c r="G752" s="8"/>
      <c r="H752" s="7"/>
      <c r="I752" s="29">
        <f t="shared" si="19"/>
        <v>0</v>
      </c>
    </row>
    <row r="753" spans="1:9" ht="94.5" x14ac:dyDescent="0.45">
      <c r="A753" s="40" t="s">
        <v>787</v>
      </c>
      <c r="B753" s="39" t="s">
        <v>42</v>
      </c>
      <c r="C753" s="41"/>
      <c r="D753" s="30"/>
      <c r="E753" s="30" t="s">
        <v>44</v>
      </c>
      <c r="F753" s="8"/>
      <c r="G753" s="8"/>
      <c r="H753" s="7"/>
      <c r="I753" s="29">
        <f t="shared" si="19"/>
        <v>0</v>
      </c>
    </row>
    <row r="754" spans="1:9" ht="94.5" x14ac:dyDescent="0.45">
      <c r="A754" s="40" t="s">
        <v>788</v>
      </c>
      <c r="B754" s="39" t="s">
        <v>42</v>
      </c>
      <c r="C754" s="41"/>
      <c r="D754" s="30"/>
      <c r="E754" s="30" t="s">
        <v>44</v>
      </c>
      <c r="F754" s="8"/>
      <c r="G754" s="8"/>
      <c r="H754" s="7"/>
      <c r="I754" s="29">
        <f t="shared" si="19"/>
        <v>0</v>
      </c>
    </row>
    <row r="755" spans="1:9" ht="94.5" x14ac:dyDescent="0.45">
      <c r="A755" s="40" t="s">
        <v>789</v>
      </c>
      <c r="B755" s="39" t="s">
        <v>42</v>
      </c>
      <c r="C755" s="41"/>
      <c r="D755" s="30"/>
      <c r="E755" s="30" t="s">
        <v>44</v>
      </c>
      <c r="F755" s="8"/>
      <c r="G755" s="8"/>
      <c r="H755" s="7"/>
      <c r="I755" s="29">
        <f t="shared" si="19"/>
        <v>0</v>
      </c>
    </row>
    <row r="756" spans="1:9" ht="94.5" x14ac:dyDescent="0.45">
      <c r="A756" s="40" t="s">
        <v>790</v>
      </c>
      <c r="B756" s="39" t="s">
        <v>42</v>
      </c>
      <c r="C756" s="41"/>
      <c r="D756" s="30"/>
      <c r="E756" s="30" t="s">
        <v>44</v>
      </c>
      <c r="F756" s="8"/>
      <c r="G756" s="8"/>
      <c r="H756" s="7"/>
      <c r="I756" s="29">
        <f t="shared" si="19"/>
        <v>0</v>
      </c>
    </row>
    <row r="757" spans="1:9" ht="94.5" x14ac:dyDescent="0.45">
      <c r="A757" s="40" t="s">
        <v>791</v>
      </c>
      <c r="B757" s="39" t="s">
        <v>42</v>
      </c>
      <c r="C757" s="41"/>
      <c r="D757" s="30"/>
      <c r="E757" s="30" t="s">
        <v>44</v>
      </c>
      <c r="F757" s="8"/>
      <c r="G757" s="8"/>
      <c r="H757" s="7"/>
      <c r="I757" s="29">
        <f t="shared" si="19"/>
        <v>0</v>
      </c>
    </row>
    <row r="758" spans="1:9" ht="94.5" x14ac:dyDescent="0.45">
      <c r="A758" s="40" t="s">
        <v>792</v>
      </c>
      <c r="B758" s="39" t="s">
        <v>42</v>
      </c>
      <c r="C758" s="41"/>
      <c r="D758" s="30"/>
      <c r="E758" s="30" t="s">
        <v>44</v>
      </c>
      <c r="F758" s="8"/>
      <c r="G758" s="8"/>
      <c r="H758" s="7"/>
      <c r="I758" s="29">
        <f t="shared" si="19"/>
        <v>0</v>
      </c>
    </row>
    <row r="759" spans="1:9" ht="94.5" x14ac:dyDescent="0.45">
      <c r="A759" s="40" t="s">
        <v>793</v>
      </c>
      <c r="B759" s="39" t="s">
        <v>42</v>
      </c>
      <c r="C759" s="41"/>
      <c r="D759" s="30"/>
      <c r="E759" s="30" t="s">
        <v>44</v>
      </c>
      <c r="F759" s="8"/>
      <c r="G759" s="8"/>
      <c r="H759" s="7"/>
      <c r="I759" s="29">
        <f t="shared" si="19"/>
        <v>0</v>
      </c>
    </row>
    <row r="760" spans="1:9" ht="94.5" x14ac:dyDescent="0.45">
      <c r="A760" s="40" t="s">
        <v>794</v>
      </c>
      <c r="B760" s="39" t="s">
        <v>42</v>
      </c>
      <c r="C760" s="41"/>
      <c r="D760" s="30"/>
      <c r="E760" s="30" t="s">
        <v>44</v>
      </c>
      <c r="F760" s="8"/>
      <c r="G760" s="8"/>
      <c r="H760" s="7"/>
      <c r="I760" s="29">
        <f t="shared" si="19"/>
        <v>0</v>
      </c>
    </row>
    <row r="761" spans="1:9" ht="94.5" x14ac:dyDescent="0.45">
      <c r="A761" s="40" t="s">
        <v>795</v>
      </c>
      <c r="B761" s="39" t="s">
        <v>42</v>
      </c>
      <c r="C761" s="41"/>
      <c r="D761" s="30"/>
      <c r="E761" s="30" t="s">
        <v>44</v>
      </c>
      <c r="F761" s="8"/>
      <c r="G761" s="8"/>
      <c r="H761" s="7"/>
      <c r="I761" s="29">
        <f t="shared" si="19"/>
        <v>0</v>
      </c>
    </row>
    <row r="762" spans="1:9" ht="94.5" x14ac:dyDescent="0.45">
      <c r="A762" s="40" t="s">
        <v>796</v>
      </c>
      <c r="B762" s="39" t="s">
        <v>42</v>
      </c>
      <c r="C762" s="41"/>
      <c r="D762" s="30"/>
      <c r="E762" s="30" t="s">
        <v>44</v>
      </c>
      <c r="F762" s="8"/>
      <c r="G762" s="8"/>
      <c r="H762" s="7"/>
      <c r="I762" s="29">
        <f t="shared" si="19"/>
        <v>0</v>
      </c>
    </row>
    <row r="763" spans="1:9" ht="94.5" x14ac:dyDescent="0.45">
      <c r="A763" s="40" t="s">
        <v>797</v>
      </c>
      <c r="B763" s="39" t="s">
        <v>42</v>
      </c>
      <c r="C763" s="41"/>
      <c r="D763" s="30"/>
      <c r="E763" s="30" t="s">
        <v>44</v>
      </c>
      <c r="F763" s="8"/>
      <c r="G763" s="8"/>
      <c r="H763" s="7"/>
      <c r="I763" s="29">
        <f t="shared" si="19"/>
        <v>0</v>
      </c>
    </row>
    <row r="764" spans="1:9" ht="94.5" x14ac:dyDescent="0.45">
      <c r="A764" s="40" t="s">
        <v>798</v>
      </c>
      <c r="B764" s="39" t="s">
        <v>42</v>
      </c>
      <c r="C764" s="41"/>
      <c r="D764" s="30"/>
      <c r="E764" s="30" t="s">
        <v>44</v>
      </c>
      <c r="F764" s="8"/>
      <c r="G764" s="8"/>
      <c r="H764" s="7"/>
      <c r="I764" s="29">
        <f t="shared" si="19"/>
        <v>0</v>
      </c>
    </row>
    <row r="765" spans="1:9" ht="94.5" x14ac:dyDescent="0.45">
      <c r="A765" s="40" t="s">
        <v>799</v>
      </c>
      <c r="B765" s="39" t="s">
        <v>42</v>
      </c>
      <c r="C765" s="41"/>
      <c r="D765" s="30"/>
      <c r="E765" s="30" t="s">
        <v>44</v>
      </c>
      <c r="F765" s="8"/>
      <c r="G765" s="8"/>
      <c r="H765" s="7"/>
      <c r="I765" s="29">
        <f t="shared" si="19"/>
        <v>0</v>
      </c>
    </row>
    <row r="766" spans="1:9" ht="94.5" x14ac:dyDescent="0.45">
      <c r="A766" s="40" t="s">
        <v>800</v>
      </c>
      <c r="B766" s="39" t="s">
        <v>42</v>
      </c>
      <c r="C766" s="41"/>
      <c r="D766" s="30"/>
      <c r="E766" s="30" t="s">
        <v>44</v>
      </c>
      <c r="F766" s="8"/>
      <c r="G766" s="8"/>
      <c r="H766" s="7"/>
      <c r="I766" s="29">
        <f t="shared" si="19"/>
        <v>0</v>
      </c>
    </row>
    <row r="767" spans="1:9" ht="94.5" x14ac:dyDescent="0.45">
      <c r="A767" s="40" t="s">
        <v>801</v>
      </c>
      <c r="B767" s="39" t="s">
        <v>42</v>
      </c>
      <c r="C767" s="41"/>
      <c r="D767" s="30"/>
      <c r="E767" s="30" t="s">
        <v>44</v>
      </c>
      <c r="F767" s="8"/>
      <c r="G767" s="8"/>
      <c r="H767" s="7"/>
      <c r="I767" s="29">
        <f t="shared" si="19"/>
        <v>0</v>
      </c>
    </row>
    <row r="768" spans="1:9" ht="94.5" x14ac:dyDescent="0.45">
      <c r="A768" s="40" t="s">
        <v>802</v>
      </c>
      <c r="B768" s="39" t="s">
        <v>42</v>
      </c>
      <c r="C768" s="41"/>
      <c r="D768" s="30"/>
      <c r="E768" s="30" t="s">
        <v>44</v>
      </c>
      <c r="F768" s="8"/>
      <c r="G768" s="8"/>
      <c r="H768" s="7"/>
      <c r="I768" s="29">
        <f t="shared" si="19"/>
        <v>0</v>
      </c>
    </row>
    <row r="769" spans="1:9" ht="94.5" x14ac:dyDescent="0.45">
      <c r="A769" s="40" t="s">
        <v>803</v>
      </c>
      <c r="B769" s="39" t="s">
        <v>42</v>
      </c>
      <c r="C769" s="41"/>
      <c r="D769" s="30"/>
      <c r="E769" s="30" t="s">
        <v>44</v>
      </c>
      <c r="F769" s="8"/>
      <c r="G769" s="8"/>
      <c r="H769" s="7"/>
      <c r="I769" s="29">
        <f t="shared" si="19"/>
        <v>0</v>
      </c>
    </row>
    <row r="770" spans="1:9" ht="94.5" x14ac:dyDescent="0.45">
      <c r="A770" s="40" t="s">
        <v>804</v>
      </c>
      <c r="B770" s="39" t="s">
        <v>42</v>
      </c>
      <c r="C770" s="41"/>
      <c r="D770" s="30"/>
      <c r="E770" s="30" t="s">
        <v>44</v>
      </c>
      <c r="F770" s="8"/>
      <c r="G770" s="8"/>
      <c r="H770" s="7"/>
      <c r="I770" s="29">
        <f t="shared" si="19"/>
        <v>0</v>
      </c>
    </row>
    <row r="771" spans="1:9" ht="94.5" x14ac:dyDescent="0.45">
      <c r="A771" s="40" t="s">
        <v>805</v>
      </c>
      <c r="B771" s="39" t="s">
        <v>42</v>
      </c>
      <c r="C771" s="41"/>
      <c r="D771" s="30"/>
      <c r="E771" s="30" t="s">
        <v>44</v>
      </c>
      <c r="F771" s="8"/>
      <c r="G771" s="8"/>
      <c r="H771" s="7"/>
      <c r="I771" s="29">
        <f t="shared" si="19"/>
        <v>0</v>
      </c>
    </row>
    <row r="772" spans="1:9" ht="94.5" x14ac:dyDescent="0.45">
      <c r="A772" s="40" t="s">
        <v>806</v>
      </c>
      <c r="B772" s="39" t="s">
        <v>42</v>
      </c>
      <c r="C772" s="41"/>
      <c r="D772" s="30"/>
      <c r="E772" s="30" t="s">
        <v>44</v>
      </c>
      <c r="F772" s="8"/>
      <c r="G772" s="8"/>
      <c r="H772" s="7"/>
      <c r="I772" s="29">
        <f t="shared" si="19"/>
        <v>0</v>
      </c>
    </row>
    <row r="773" spans="1:9" ht="94.5" x14ac:dyDescent="0.45">
      <c r="A773" s="40" t="s">
        <v>807</v>
      </c>
      <c r="B773" s="39" t="s">
        <v>42</v>
      </c>
      <c r="C773" s="41"/>
      <c r="D773" s="30"/>
      <c r="E773" s="30" t="s">
        <v>44</v>
      </c>
      <c r="F773" s="8"/>
      <c r="G773" s="8"/>
      <c r="H773" s="7"/>
      <c r="I773" s="29">
        <f t="shared" si="19"/>
        <v>0</v>
      </c>
    </row>
    <row r="774" spans="1:9" ht="94.5" x14ac:dyDescent="0.45">
      <c r="A774" s="40" t="s">
        <v>808</v>
      </c>
      <c r="B774" s="39" t="s">
        <v>42</v>
      </c>
      <c r="C774" s="41"/>
      <c r="D774" s="30"/>
      <c r="E774" s="30" t="s">
        <v>44</v>
      </c>
      <c r="F774" s="8"/>
      <c r="G774" s="8"/>
      <c r="H774" s="7"/>
      <c r="I774" s="29">
        <f t="shared" si="19"/>
        <v>0</v>
      </c>
    </row>
    <row r="775" spans="1:9" ht="94.5" x14ac:dyDescent="0.45">
      <c r="A775" s="40" t="s">
        <v>809</v>
      </c>
      <c r="B775" s="39" t="s">
        <v>42</v>
      </c>
      <c r="C775" s="41"/>
      <c r="D775" s="30"/>
      <c r="E775" s="30" t="s">
        <v>44</v>
      </c>
      <c r="F775" s="8"/>
      <c r="G775" s="8"/>
      <c r="H775" s="7"/>
      <c r="I775" s="29">
        <f t="shared" si="19"/>
        <v>0</v>
      </c>
    </row>
    <row r="776" spans="1:9" ht="94.5" x14ac:dyDescent="0.45">
      <c r="A776" s="40" t="s">
        <v>810</v>
      </c>
      <c r="B776" s="39" t="s">
        <v>42</v>
      </c>
      <c r="C776" s="41"/>
      <c r="D776" s="30"/>
      <c r="E776" s="30" t="s">
        <v>44</v>
      </c>
      <c r="F776" s="8"/>
      <c r="G776" s="8"/>
      <c r="H776" s="7"/>
      <c r="I776" s="29">
        <f t="shared" si="19"/>
        <v>0</v>
      </c>
    </row>
    <row r="777" spans="1:9" ht="94.5" x14ac:dyDescent="0.45">
      <c r="A777" s="40" t="s">
        <v>811</v>
      </c>
      <c r="B777" s="39" t="s">
        <v>42</v>
      </c>
      <c r="C777" s="41"/>
      <c r="D777" s="30"/>
      <c r="E777" s="30" t="s">
        <v>44</v>
      </c>
      <c r="F777" s="8"/>
      <c r="G777" s="8"/>
      <c r="H777" s="7"/>
      <c r="I777" s="29">
        <f t="shared" si="19"/>
        <v>0</v>
      </c>
    </row>
    <row r="778" spans="1:9" ht="94.5" x14ac:dyDescent="0.45">
      <c r="A778" s="40" t="s">
        <v>812</v>
      </c>
      <c r="B778" s="39" t="s">
        <v>42</v>
      </c>
      <c r="C778" s="41"/>
      <c r="D778" s="30"/>
      <c r="E778" s="30" t="s">
        <v>44</v>
      </c>
      <c r="F778" s="8"/>
      <c r="G778" s="8"/>
      <c r="H778" s="7"/>
      <c r="I778" s="29">
        <f t="shared" si="19"/>
        <v>0</v>
      </c>
    </row>
    <row r="779" spans="1:9" ht="94.5" x14ac:dyDescent="0.45">
      <c r="A779" s="40" t="s">
        <v>813</v>
      </c>
      <c r="B779" s="39" t="s">
        <v>42</v>
      </c>
      <c r="C779" s="41"/>
      <c r="D779" s="30"/>
      <c r="E779" s="30" t="s">
        <v>44</v>
      </c>
      <c r="F779" s="8"/>
      <c r="G779" s="8"/>
      <c r="H779" s="7"/>
      <c r="I779" s="29">
        <f t="shared" si="19"/>
        <v>0</v>
      </c>
    </row>
    <row r="780" spans="1:9" ht="94.5" x14ac:dyDescent="0.45">
      <c r="A780" s="40" t="s">
        <v>814</v>
      </c>
      <c r="B780" s="39" t="s">
        <v>42</v>
      </c>
      <c r="C780" s="41"/>
      <c r="D780" s="30"/>
      <c r="E780" s="30" t="s">
        <v>44</v>
      </c>
      <c r="F780" s="8"/>
      <c r="G780" s="8"/>
      <c r="H780" s="7"/>
      <c r="I780" s="29">
        <f t="shared" si="19"/>
        <v>0</v>
      </c>
    </row>
    <row r="781" spans="1:9" ht="94.5" x14ac:dyDescent="0.45">
      <c r="A781" s="40" t="s">
        <v>815</v>
      </c>
      <c r="B781" s="39" t="s">
        <v>42</v>
      </c>
      <c r="C781" s="41"/>
      <c r="D781" s="30"/>
      <c r="E781" s="30" t="s">
        <v>44</v>
      </c>
      <c r="F781" s="8"/>
      <c r="G781" s="8"/>
      <c r="H781" s="7"/>
      <c r="I781" s="29">
        <f t="shared" si="19"/>
        <v>0</v>
      </c>
    </row>
    <row r="782" spans="1:9" ht="94.5" x14ac:dyDescent="0.45">
      <c r="A782" s="40" t="s">
        <v>816</v>
      </c>
      <c r="B782" s="39" t="s">
        <v>42</v>
      </c>
      <c r="C782" s="41"/>
      <c r="D782" s="30"/>
      <c r="E782" s="30" t="s">
        <v>44</v>
      </c>
      <c r="F782" s="8"/>
      <c r="G782" s="8"/>
      <c r="H782" s="7"/>
      <c r="I782" s="29">
        <f t="shared" si="19"/>
        <v>0</v>
      </c>
    </row>
    <row r="783" spans="1:9" ht="94.5" x14ac:dyDescent="0.45">
      <c r="A783" s="40" t="s">
        <v>817</v>
      </c>
      <c r="B783" s="39" t="s">
        <v>42</v>
      </c>
      <c r="C783" s="41"/>
      <c r="D783" s="30"/>
      <c r="E783" s="30" t="s">
        <v>44</v>
      </c>
      <c r="F783" s="8"/>
      <c r="G783" s="8"/>
      <c r="H783" s="7"/>
      <c r="I783" s="29">
        <f t="shared" si="19"/>
        <v>0</v>
      </c>
    </row>
    <row r="784" spans="1:9" ht="94.5" x14ac:dyDescent="0.45">
      <c r="A784" s="40" t="s">
        <v>818</v>
      </c>
      <c r="B784" s="39" t="s">
        <v>42</v>
      </c>
      <c r="C784" s="41"/>
      <c r="D784" s="30"/>
      <c r="E784" s="30" t="s">
        <v>44</v>
      </c>
      <c r="F784" s="8"/>
      <c r="G784" s="8"/>
      <c r="H784" s="7"/>
      <c r="I784" s="29">
        <f t="shared" si="19"/>
        <v>0</v>
      </c>
    </row>
    <row r="785" spans="1:9" ht="94.5" x14ac:dyDescent="0.45">
      <c r="A785" s="40" t="s">
        <v>819</v>
      </c>
      <c r="B785" s="39" t="s">
        <v>42</v>
      </c>
      <c r="C785" s="41"/>
      <c r="D785" s="30"/>
      <c r="E785" s="30" t="s">
        <v>44</v>
      </c>
      <c r="F785" s="8"/>
      <c r="G785" s="8"/>
      <c r="H785" s="7"/>
      <c r="I785" s="29">
        <f t="shared" si="19"/>
        <v>0</v>
      </c>
    </row>
    <row r="786" spans="1:9" ht="94.5" x14ac:dyDescent="0.45">
      <c r="A786" s="40" t="s">
        <v>820</v>
      </c>
      <c r="B786" s="39" t="s">
        <v>42</v>
      </c>
      <c r="C786" s="41"/>
      <c r="D786" s="30"/>
      <c r="E786" s="30" t="s">
        <v>44</v>
      </c>
      <c r="F786" s="8"/>
      <c r="G786" s="8"/>
      <c r="H786" s="7"/>
      <c r="I786" s="29">
        <f t="shared" si="19"/>
        <v>0</v>
      </c>
    </row>
    <row r="787" spans="1:9" ht="94.5" x14ac:dyDescent="0.45">
      <c r="A787" s="40" t="s">
        <v>821</v>
      </c>
      <c r="B787" s="39" t="s">
        <v>42</v>
      </c>
      <c r="C787" s="41"/>
      <c r="D787" s="30"/>
      <c r="E787" s="30" t="s">
        <v>44</v>
      </c>
      <c r="F787" s="8"/>
      <c r="G787" s="8"/>
      <c r="H787" s="7"/>
      <c r="I787" s="29">
        <f t="shared" si="19"/>
        <v>0</v>
      </c>
    </row>
    <row r="788" spans="1:9" ht="94.5" x14ac:dyDescent="0.45">
      <c r="A788" s="40" t="s">
        <v>822</v>
      </c>
      <c r="B788" s="39" t="s">
        <v>42</v>
      </c>
      <c r="C788" s="41"/>
      <c r="D788" s="30"/>
      <c r="E788" s="30" t="s">
        <v>44</v>
      </c>
      <c r="F788" s="8"/>
      <c r="G788" s="8"/>
      <c r="H788" s="7"/>
      <c r="I788" s="29">
        <f t="shared" si="19"/>
        <v>0</v>
      </c>
    </row>
    <row r="789" spans="1:9" ht="94.5" x14ac:dyDescent="0.45">
      <c r="A789" s="40" t="s">
        <v>823</v>
      </c>
      <c r="B789" s="39" t="s">
        <v>42</v>
      </c>
      <c r="C789" s="41"/>
      <c r="D789" s="30"/>
      <c r="E789" s="30" t="s">
        <v>44</v>
      </c>
      <c r="F789" s="8"/>
      <c r="G789" s="8"/>
      <c r="H789" s="7"/>
      <c r="I789" s="29">
        <f t="shared" si="19"/>
        <v>0</v>
      </c>
    </row>
    <row r="790" spans="1:9" ht="94.5" x14ac:dyDescent="0.45">
      <c r="A790" s="40" t="s">
        <v>824</v>
      </c>
      <c r="B790" s="39" t="s">
        <v>42</v>
      </c>
      <c r="C790" s="41"/>
      <c r="D790" s="30"/>
      <c r="E790" s="30" t="s">
        <v>44</v>
      </c>
      <c r="F790" s="8"/>
      <c r="G790" s="8"/>
      <c r="H790" s="7"/>
      <c r="I790" s="29">
        <f t="shared" si="19"/>
        <v>0</v>
      </c>
    </row>
    <row r="791" spans="1:9" ht="94.5" x14ac:dyDescent="0.45">
      <c r="A791" s="40" t="s">
        <v>825</v>
      </c>
      <c r="B791" s="39" t="s">
        <v>42</v>
      </c>
      <c r="C791" s="41"/>
      <c r="D791" s="30"/>
      <c r="E791" s="30" t="s">
        <v>44</v>
      </c>
      <c r="F791" s="8"/>
      <c r="G791" s="8"/>
      <c r="H791" s="7"/>
      <c r="I791" s="29">
        <f t="shared" si="19"/>
        <v>0</v>
      </c>
    </row>
    <row r="792" spans="1:9" ht="94.5" x14ac:dyDescent="0.45">
      <c r="A792" s="40" t="s">
        <v>826</v>
      </c>
      <c r="B792" s="39" t="s">
        <v>42</v>
      </c>
      <c r="C792" s="41"/>
      <c r="D792" s="30"/>
      <c r="E792" s="30" t="s">
        <v>44</v>
      </c>
      <c r="F792" s="8"/>
      <c r="G792" s="8"/>
      <c r="H792" s="7"/>
      <c r="I792" s="29">
        <f t="shared" si="19"/>
        <v>0</v>
      </c>
    </row>
    <row r="793" spans="1:9" ht="94.5" x14ac:dyDescent="0.45">
      <c r="A793" s="40" t="s">
        <v>827</v>
      </c>
      <c r="B793" s="39" t="s">
        <v>42</v>
      </c>
      <c r="C793" s="41"/>
      <c r="D793" s="30"/>
      <c r="E793" s="30" t="s">
        <v>44</v>
      </c>
      <c r="F793" s="8"/>
      <c r="G793" s="8"/>
      <c r="H793" s="7"/>
      <c r="I793" s="29">
        <f t="shared" si="19"/>
        <v>0</v>
      </c>
    </row>
    <row r="794" spans="1:9" ht="94.5" x14ac:dyDescent="0.45">
      <c r="A794" s="40" t="s">
        <v>828</v>
      </c>
      <c r="B794" s="39" t="s">
        <v>42</v>
      </c>
      <c r="C794" s="41"/>
      <c r="D794" s="30"/>
      <c r="E794" s="30" t="s">
        <v>44</v>
      </c>
      <c r="F794" s="8"/>
      <c r="G794" s="8"/>
      <c r="H794" s="7"/>
      <c r="I794" s="29">
        <f t="shared" si="19"/>
        <v>0</v>
      </c>
    </row>
    <row r="795" spans="1:9" ht="94.5" x14ac:dyDescent="0.45">
      <c r="A795" s="40" t="s">
        <v>829</v>
      </c>
      <c r="B795" s="39" t="s">
        <v>42</v>
      </c>
      <c r="C795" s="41"/>
      <c r="D795" s="30"/>
      <c r="E795" s="30" t="s">
        <v>44</v>
      </c>
      <c r="F795" s="8"/>
      <c r="G795" s="8"/>
      <c r="H795" s="7"/>
      <c r="I795" s="29">
        <f t="shared" si="19"/>
        <v>0</v>
      </c>
    </row>
    <row r="796" spans="1:9" ht="94.5" x14ac:dyDescent="0.45">
      <c r="A796" s="40" t="s">
        <v>830</v>
      </c>
      <c r="B796" s="39" t="s">
        <v>42</v>
      </c>
      <c r="C796" s="41"/>
      <c r="D796" s="30"/>
      <c r="E796" s="30" t="s">
        <v>44</v>
      </c>
      <c r="F796" s="8"/>
      <c r="G796" s="8"/>
      <c r="H796" s="7"/>
      <c r="I796" s="29">
        <f t="shared" si="19"/>
        <v>0</v>
      </c>
    </row>
    <row r="797" spans="1:9" ht="94.5" x14ac:dyDescent="0.45">
      <c r="A797" s="40" t="s">
        <v>831</v>
      </c>
      <c r="B797" s="39" t="s">
        <v>42</v>
      </c>
      <c r="C797" s="41"/>
      <c r="D797" s="30"/>
      <c r="E797" s="30" t="s">
        <v>44</v>
      </c>
      <c r="F797" s="8"/>
      <c r="G797" s="8"/>
      <c r="H797" s="7"/>
      <c r="I797" s="29">
        <f t="shared" si="19"/>
        <v>0</v>
      </c>
    </row>
    <row r="798" spans="1:9" ht="94.5" x14ac:dyDescent="0.45">
      <c r="A798" s="40" t="s">
        <v>832</v>
      </c>
      <c r="B798" s="39" t="s">
        <v>42</v>
      </c>
      <c r="C798" s="41"/>
      <c r="D798" s="30"/>
      <c r="E798" s="30" t="s">
        <v>44</v>
      </c>
      <c r="F798" s="8"/>
      <c r="G798" s="8"/>
      <c r="H798" s="7"/>
      <c r="I798" s="29">
        <f t="shared" si="19"/>
        <v>0</v>
      </c>
    </row>
    <row r="799" spans="1:9" ht="94.5" x14ac:dyDescent="0.45">
      <c r="A799" s="40" t="s">
        <v>833</v>
      </c>
      <c r="B799" s="39" t="s">
        <v>42</v>
      </c>
      <c r="C799" s="41"/>
      <c r="D799" s="30"/>
      <c r="E799" s="30" t="s">
        <v>44</v>
      </c>
      <c r="F799" s="8"/>
      <c r="G799" s="8"/>
      <c r="H799" s="7"/>
      <c r="I799" s="29">
        <f t="shared" si="19"/>
        <v>0</v>
      </c>
    </row>
    <row r="800" spans="1:9" ht="94.5" x14ac:dyDescent="0.45">
      <c r="A800" s="40" t="s">
        <v>834</v>
      </c>
      <c r="B800" s="39" t="s">
        <v>42</v>
      </c>
      <c r="C800" s="41"/>
      <c r="D800" s="30"/>
      <c r="E800" s="30" t="s">
        <v>44</v>
      </c>
      <c r="F800" s="8"/>
      <c r="G800" s="8"/>
      <c r="H800" s="7"/>
      <c r="I800" s="29">
        <f t="shared" si="19"/>
        <v>0</v>
      </c>
    </row>
    <row r="801" spans="1:9" ht="94.5" x14ac:dyDescent="0.45">
      <c r="A801" s="40" t="s">
        <v>835</v>
      </c>
      <c r="B801" s="39" t="s">
        <v>42</v>
      </c>
      <c r="C801" s="41"/>
      <c r="D801" s="30"/>
      <c r="E801" s="30" t="s">
        <v>44</v>
      </c>
      <c r="F801" s="8"/>
      <c r="G801" s="8"/>
      <c r="H801" s="7"/>
      <c r="I801" s="29">
        <f t="shared" ref="I801:I811" si="20">F801*H801</f>
        <v>0</v>
      </c>
    </row>
    <row r="802" spans="1:9" ht="94.5" x14ac:dyDescent="0.45">
      <c r="A802" s="40" t="s">
        <v>836</v>
      </c>
      <c r="B802" s="39" t="s">
        <v>42</v>
      </c>
      <c r="C802" s="41"/>
      <c r="D802" s="30"/>
      <c r="E802" s="30" t="s">
        <v>44</v>
      </c>
      <c r="F802" s="8"/>
      <c r="G802" s="8"/>
      <c r="H802" s="7"/>
      <c r="I802" s="29">
        <f t="shared" si="20"/>
        <v>0</v>
      </c>
    </row>
    <row r="803" spans="1:9" ht="94.5" x14ac:dyDescent="0.45">
      <c r="A803" s="40" t="s">
        <v>837</v>
      </c>
      <c r="B803" s="39" t="s">
        <v>42</v>
      </c>
      <c r="C803" s="41"/>
      <c r="D803" s="30"/>
      <c r="E803" s="30" t="s">
        <v>44</v>
      </c>
      <c r="F803" s="8"/>
      <c r="G803" s="8"/>
      <c r="H803" s="7"/>
      <c r="I803" s="29">
        <f t="shared" si="20"/>
        <v>0</v>
      </c>
    </row>
    <row r="804" spans="1:9" ht="94.5" x14ac:dyDescent="0.45">
      <c r="A804" s="40" t="s">
        <v>838</v>
      </c>
      <c r="B804" s="39" t="s">
        <v>42</v>
      </c>
      <c r="C804" s="41"/>
      <c r="D804" s="30"/>
      <c r="E804" s="30" t="s">
        <v>44</v>
      </c>
      <c r="F804" s="8"/>
      <c r="G804" s="8"/>
      <c r="H804" s="7"/>
      <c r="I804" s="29">
        <f t="shared" si="20"/>
        <v>0</v>
      </c>
    </row>
    <row r="805" spans="1:9" ht="94.5" x14ac:dyDescent="0.45">
      <c r="A805" s="40" t="s">
        <v>839</v>
      </c>
      <c r="B805" s="39" t="s">
        <v>42</v>
      </c>
      <c r="C805" s="41"/>
      <c r="D805" s="30"/>
      <c r="E805" s="30" t="s">
        <v>44</v>
      </c>
      <c r="F805" s="8"/>
      <c r="G805" s="8"/>
      <c r="H805" s="7"/>
      <c r="I805" s="29">
        <f t="shared" si="20"/>
        <v>0</v>
      </c>
    </row>
    <row r="806" spans="1:9" ht="94.5" x14ac:dyDescent="0.45">
      <c r="A806" s="40" t="s">
        <v>840</v>
      </c>
      <c r="B806" s="39" t="s">
        <v>42</v>
      </c>
      <c r="C806" s="41"/>
      <c r="D806" s="30"/>
      <c r="E806" s="30" t="s">
        <v>44</v>
      </c>
      <c r="F806" s="8"/>
      <c r="G806" s="8"/>
      <c r="H806" s="7"/>
      <c r="I806" s="29">
        <f t="shared" si="20"/>
        <v>0</v>
      </c>
    </row>
    <row r="807" spans="1:9" ht="94.5" x14ac:dyDescent="0.45">
      <c r="A807" s="40" t="s">
        <v>841</v>
      </c>
      <c r="B807" s="39" t="s">
        <v>42</v>
      </c>
      <c r="C807" s="41"/>
      <c r="D807" s="30"/>
      <c r="E807" s="30" t="s">
        <v>44</v>
      </c>
      <c r="F807" s="8"/>
      <c r="G807" s="8"/>
      <c r="H807" s="7"/>
      <c r="I807" s="29">
        <f t="shared" si="20"/>
        <v>0</v>
      </c>
    </row>
    <row r="808" spans="1:9" ht="94.5" x14ac:dyDescent="0.45">
      <c r="A808" s="40" t="s">
        <v>842</v>
      </c>
      <c r="B808" s="39" t="s">
        <v>42</v>
      </c>
      <c r="C808" s="41"/>
      <c r="D808" s="30"/>
      <c r="E808" s="30" t="s">
        <v>44</v>
      </c>
      <c r="F808" s="8"/>
      <c r="G808" s="8"/>
      <c r="H808" s="7"/>
      <c r="I808" s="29">
        <f t="shared" si="20"/>
        <v>0</v>
      </c>
    </row>
    <row r="809" spans="1:9" ht="94.5" x14ac:dyDescent="0.45">
      <c r="A809" s="40" t="s">
        <v>843</v>
      </c>
      <c r="B809" s="39" t="s">
        <v>42</v>
      </c>
      <c r="C809" s="41"/>
      <c r="D809" s="30"/>
      <c r="E809" s="30" t="s">
        <v>44</v>
      </c>
      <c r="F809" s="8"/>
      <c r="G809" s="8"/>
      <c r="H809" s="7"/>
      <c r="I809" s="29">
        <f t="shared" si="20"/>
        <v>0</v>
      </c>
    </row>
    <row r="810" spans="1:9" ht="94.5" x14ac:dyDescent="0.45">
      <c r="A810" s="40" t="s">
        <v>844</v>
      </c>
      <c r="B810" s="39" t="s">
        <v>42</v>
      </c>
      <c r="C810" s="41"/>
      <c r="D810" s="30"/>
      <c r="E810" s="30" t="s">
        <v>44</v>
      </c>
      <c r="F810" s="8"/>
      <c r="G810" s="8"/>
      <c r="H810" s="7"/>
      <c r="I810" s="29">
        <f>F810*H810</f>
        <v>0</v>
      </c>
    </row>
    <row r="811" spans="1:9" ht="94.5" x14ac:dyDescent="0.45">
      <c r="A811" s="40" t="s">
        <v>845</v>
      </c>
      <c r="B811" s="39" t="s">
        <v>42</v>
      </c>
      <c r="C811" s="41"/>
      <c r="D811" s="30"/>
      <c r="E811" s="30" t="s">
        <v>44</v>
      </c>
      <c r="F811" s="8"/>
      <c r="G811" s="8"/>
      <c r="H811" s="7"/>
      <c r="I811" s="29">
        <f t="shared" si="20"/>
        <v>0</v>
      </c>
    </row>
    <row r="812" spans="1:9" x14ac:dyDescent="0.45">
      <c r="A812" s="70" t="s">
        <v>28</v>
      </c>
      <c r="B812" s="71"/>
      <c r="C812" s="71"/>
      <c r="D812" s="71"/>
      <c r="E812" s="71"/>
      <c r="F812" s="71"/>
      <c r="G812" s="71"/>
      <c r="H812" s="72"/>
      <c r="I812" s="46">
        <f>SUM(I12:I811)</f>
        <v>0</v>
      </c>
    </row>
    <row r="813" spans="1:9" x14ac:dyDescent="0.45">
      <c r="A813" s="70" t="s">
        <v>26</v>
      </c>
      <c r="B813" s="71"/>
      <c r="C813" s="71"/>
      <c r="D813" s="71"/>
      <c r="E813" s="71"/>
      <c r="F813" s="71"/>
      <c r="G813" s="71"/>
      <c r="H813" s="72"/>
      <c r="I813" s="46">
        <f>I812 * 0.05</f>
        <v>0</v>
      </c>
    </row>
    <row r="814" spans="1:9" x14ac:dyDescent="0.45">
      <c r="A814" s="73" t="s">
        <v>27</v>
      </c>
      <c r="B814" s="74"/>
      <c r="C814" s="74"/>
      <c r="D814" s="74"/>
      <c r="E814" s="74"/>
      <c r="F814" s="74"/>
      <c r="G814" s="74"/>
      <c r="H814" s="75"/>
      <c r="I814" s="47">
        <f>I812+I813</f>
        <v>0</v>
      </c>
    </row>
    <row r="815" spans="1:9" x14ac:dyDescent="0.45">
      <c r="A815" s="93" t="s">
        <v>145</v>
      </c>
      <c r="B815" s="94"/>
      <c r="C815" s="94"/>
      <c r="D815" s="94"/>
      <c r="E815" s="94"/>
      <c r="F815" s="94"/>
      <c r="G815" s="94"/>
      <c r="H815" s="94"/>
      <c r="I815" s="95"/>
    </row>
    <row r="816" spans="1:9" x14ac:dyDescent="0.45">
      <c r="A816" s="76" t="s">
        <v>3</v>
      </c>
      <c r="B816" s="77"/>
      <c r="C816" s="77"/>
      <c r="D816" s="77"/>
      <c r="E816" s="77"/>
      <c r="F816" s="77"/>
      <c r="G816" s="77"/>
      <c r="H816" s="77"/>
      <c r="I816" s="78"/>
    </row>
    <row r="817" spans="1:9" x14ac:dyDescent="0.45">
      <c r="A817" s="48" t="s">
        <v>21</v>
      </c>
      <c r="B817" s="64"/>
      <c r="C817" s="65"/>
      <c r="D817" s="65"/>
      <c r="E817" s="65"/>
      <c r="F817" s="65"/>
      <c r="G817" s="65"/>
      <c r="H817" s="65"/>
      <c r="I817" s="66"/>
    </row>
    <row r="818" spans="1:9" x14ac:dyDescent="0.45">
      <c r="A818" s="48" t="s">
        <v>8</v>
      </c>
      <c r="B818" s="64" t="s">
        <v>29</v>
      </c>
      <c r="C818" s="65"/>
      <c r="D818" s="65"/>
      <c r="E818" s="65"/>
      <c r="F818" s="65"/>
      <c r="G818" s="65"/>
      <c r="H818" s="65"/>
      <c r="I818" s="66"/>
    </row>
    <row r="819" spans="1:9" x14ac:dyDescent="0.45">
      <c r="A819" s="48" t="s">
        <v>9</v>
      </c>
      <c r="B819" s="64" t="s">
        <v>39</v>
      </c>
      <c r="C819" s="65"/>
      <c r="D819" s="65"/>
      <c r="E819" s="65"/>
      <c r="F819" s="65"/>
      <c r="G819" s="65"/>
      <c r="H819" s="65"/>
      <c r="I819" s="66"/>
    </row>
    <row r="820" spans="1:9" x14ac:dyDescent="0.45">
      <c r="A820" s="48" t="s">
        <v>10</v>
      </c>
      <c r="B820" s="64" t="s">
        <v>30</v>
      </c>
      <c r="C820" s="65"/>
      <c r="D820" s="65"/>
      <c r="E820" s="65"/>
      <c r="F820" s="65"/>
      <c r="G820" s="65"/>
      <c r="H820" s="65"/>
      <c r="I820" s="66"/>
    </row>
    <row r="821" spans="1:9" x14ac:dyDescent="0.45">
      <c r="A821" s="50"/>
      <c r="B821" s="49"/>
      <c r="C821" s="49"/>
      <c r="D821" s="49"/>
      <c r="E821" s="49"/>
      <c r="F821" s="51"/>
      <c r="G821" s="51"/>
      <c r="H821" s="49"/>
      <c r="I821" s="52"/>
    </row>
    <row r="822" spans="1:9" x14ac:dyDescent="0.45">
      <c r="A822" s="67" t="s">
        <v>13</v>
      </c>
      <c r="B822" s="68"/>
      <c r="C822" s="68"/>
      <c r="D822" s="68"/>
      <c r="E822" s="68"/>
      <c r="F822" s="68"/>
      <c r="G822" s="68"/>
      <c r="H822" s="68"/>
      <c r="I822" s="69"/>
    </row>
    <row r="823" spans="1:9" x14ac:dyDescent="0.45">
      <c r="A823" s="54"/>
      <c r="B823" s="55"/>
      <c r="C823" s="55"/>
      <c r="D823" s="55"/>
      <c r="E823" s="55"/>
      <c r="F823" s="56"/>
      <c r="G823" s="56"/>
      <c r="H823" s="55"/>
      <c r="I823" s="57"/>
    </row>
    <row r="824" spans="1:9" x14ac:dyDescent="0.45">
      <c r="A824" s="54" t="s">
        <v>14</v>
      </c>
      <c r="B824" s="53"/>
      <c r="C824" s="55"/>
      <c r="D824" s="55"/>
      <c r="E824" s="55"/>
      <c r="F824" s="56"/>
      <c r="G824" s="56"/>
      <c r="H824" s="55"/>
      <c r="I824" s="57"/>
    </row>
    <row r="825" spans="1:9" x14ac:dyDescent="0.45">
      <c r="A825" s="58"/>
      <c r="B825" s="55"/>
      <c r="C825" s="55"/>
      <c r="D825" s="55"/>
      <c r="E825" s="55"/>
      <c r="F825" s="56"/>
      <c r="G825" s="56"/>
      <c r="H825" s="55"/>
      <c r="I825" s="57"/>
    </row>
    <row r="826" spans="1:9" x14ac:dyDescent="0.45">
      <c r="A826" s="50"/>
      <c r="B826" s="49"/>
      <c r="C826" s="49"/>
      <c r="D826" s="49"/>
      <c r="E826" s="49"/>
      <c r="F826" s="51"/>
      <c r="G826" s="51"/>
      <c r="H826" s="49"/>
      <c r="I826" s="52"/>
    </row>
    <row r="827" spans="1:9" x14ac:dyDescent="0.45">
      <c r="A827" s="59" t="s">
        <v>4</v>
      </c>
      <c r="B827" s="60"/>
      <c r="C827" s="60"/>
      <c r="D827" s="61"/>
      <c r="E827" s="61"/>
      <c r="F827" s="62"/>
      <c r="G827" s="62"/>
      <c r="H827" s="61"/>
      <c r="I827" s="63"/>
    </row>
  </sheetData>
  <mergeCells count="22">
    <mergeCell ref="A9:I9"/>
    <mergeCell ref="B6:C6"/>
    <mergeCell ref="A1:I1"/>
    <mergeCell ref="E2:I2"/>
    <mergeCell ref="E3:I3"/>
    <mergeCell ref="E4:I4"/>
    <mergeCell ref="E5:I5"/>
    <mergeCell ref="E6:I6"/>
    <mergeCell ref="B2:C2"/>
    <mergeCell ref="B3:C3"/>
    <mergeCell ref="B4:C4"/>
    <mergeCell ref="B5:C5"/>
    <mergeCell ref="B818:I818"/>
    <mergeCell ref="B819:I819"/>
    <mergeCell ref="B820:I820"/>
    <mergeCell ref="A822:I822"/>
    <mergeCell ref="A812:H812"/>
    <mergeCell ref="A813:H813"/>
    <mergeCell ref="A814:H814"/>
    <mergeCell ref="A816:I816"/>
    <mergeCell ref="B817:I817"/>
    <mergeCell ref="A815:I815"/>
  </mergeCells>
  <phoneticPr fontId="10" type="noConversion"/>
  <printOptions horizontalCentered="1"/>
  <pageMargins left="0" right="0" top="0.9" bottom="0.88" header="0.118110236220472" footer="0.118110236220472"/>
  <pageSetup paperSize="9" scale="80" orientation="landscape" r:id="rId1"/>
  <headerFooter scaleWithDoc="0">
    <oddHeader>&amp;C&amp;"Arial Black,Bold"&amp;20&amp;G</oddHeader>
    <oddFooter>&amp;C&amp;G&amp;RPage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 (2)</vt:lpstr>
      <vt:lpstr>'Sheet1 (2)'!Print_Area</vt:lpstr>
      <vt:lpstr>'Sheet1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 Angsioco</dc:creator>
  <cp:lastModifiedBy>SANAT KUMAR JHA (24119045)</cp:lastModifiedBy>
  <cp:lastPrinted>2024-06-29T11:15:19Z</cp:lastPrinted>
  <dcterms:created xsi:type="dcterms:W3CDTF">2013-02-13T15:36:31Z</dcterms:created>
  <dcterms:modified xsi:type="dcterms:W3CDTF">2025-12-28T14:58:11Z</dcterms:modified>
</cp:coreProperties>
</file>