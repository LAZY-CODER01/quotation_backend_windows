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3EAED81-7BEE-481E-85B5-2E52BD4046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2)" sheetId="6" r:id="rId1"/>
  </sheets>
  <definedNames>
    <definedName name="_xlnm.Print_Area" localSheetId="0">'Sheet1 (2)'!$A$1:$I$47</definedName>
    <definedName name="_xlnm.Print_Titles" localSheetId="0">'Sheet1 (2)'!$11:$11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1" i="6" l="1"/>
  <c r="N31" i="6" s="1"/>
  <c r="P31" i="6" s="1"/>
  <c r="I31" i="6"/>
  <c r="M30" i="6"/>
  <c r="N30" i="6" s="1"/>
  <c r="P30" i="6" s="1"/>
  <c r="I30" i="6"/>
  <c r="M29" i="6"/>
  <c r="N29" i="6" s="1"/>
  <c r="P29" i="6" s="1"/>
  <c r="I29" i="6"/>
  <c r="M28" i="6"/>
  <c r="N28" i="6" s="1"/>
  <c r="P28" i="6" s="1"/>
  <c r="I28" i="6"/>
  <c r="M27" i="6"/>
  <c r="N27" i="6" s="1"/>
  <c r="P27" i="6" s="1"/>
  <c r="I27" i="6"/>
  <c r="M26" i="6"/>
  <c r="N26" i="6" s="1"/>
  <c r="P26" i="6" s="1"/>
  <c r="I26" i="6"/>
  <c r="M25" i="6"/>
  <c r="N25" i="6" s="1"/>
  <c r="P25" i="6" s="1"/>
  <c r="I25" i="6"/>
  <c r="N24" i="6"/>
  <c r="P24" i="6" s="1"/>
  <c r="M24" i="6"/>
  <c r="I24" i="6"/>
  <c r="M23" i="6"/>
  <c r="N23" i="6" s="1"/>
  <c r="P23" i="6" s="1"/>
  <c r="I23" i="6"/>
  <c r="M22" i="6"/>
  <c r="N22" i="6" s="1"/>
  <c r="P22" i="6" s="1"/>
  <c r="I22" i="6"/>
  <c r="M21" i="6"/>
  <c r="N21" i="6" s="1"/>
  <c r="P21" i="6" s="1"/>
  <c r="I21" i="6"/>
  <c r="N20" i="6"/>
  <c r="P20" i="6" s="1"/>
  <c r="M20" i="6"/>
  <c r="I20" i="6"/>
  <c r="M19" i="6"/>
  <c r="N19" i="6" s="1"/>
  <c r="P19" i="6" s="1"/>
  <c r="I19" i="6"/>
  <c r="M18" i="6"/>
  <c r="N18" i="6" s="1"/>
  <c r="P18" i="6" s="1"/>
  <c r="I18" i="6"/>
  <c r="M17" i="6"/>
  <c r="N17" i="6" s="1"/>
  <c r="P17" i="6" s="1"/>
  <c r="I17" i="6"/>
  <c r="N16" i="6"/>
  <c r="P16" i="6" s="1"/>
  <c r="M16" i="6"/>
  <c r="I16" i="6"/>
  <c r="M15" i="6"/>
  <c r="N15" i="6" s="1"/>
  <c r="P15" i="6" s="1"/>
  <c r="I15" i="6"/>
  <c r="M14" i="6"/>
  <c r="N14" i="6" s="1"/>
  <c r="P14" i="6" s="1"/>
  <c r="I14" i="6"/>
  <c r="M13" i="6"/>
  <c r="N13" i="6" s="1"/>
  <c r="P13" i="6" s="1"/>
  <c r="I13" i="6"/>
  <c r="I12" i="6"/>
  <c r="M12" i="6"/>
  <c r="N12" i="6" s="1"/>
  <c r="P12" i="6" s="1"/>
  <c r="I32" i="6" l="1"/>
  <c r="I33" i="6" l="1"/>
  <c r="I34" i="6" s="1"/>
</calcChain>
</file>

<file path=xl/sharedStrings.xml><?xml version="1.0" encoding="utf-8"?>
<sst xmlns="http://schemas.openxmlformats.org/spreadsheetml/2006/main" count="103" uniqueCount="65">
  <si>
    <t>Description</t>
  </si>
  <si>
    <t>Image</t>
  </si>
  <si>
    <t>Qty</t>
  </si>
  <si>
    <t>TERMS:</t>
  </si>
  <si>
    <t>(This message has been electronically transmitted and does not require a signature).</t>
  </si>
  <si>
    <t>Subject:</t>
  </si>
  <si>
    <t xml:space="preserve">Mobile: </t>
  </si>
  <si>
    <t>Unit</t>
  </si>
  <si>
    <t>Delivery:</t>
  </si>
  <si>
    <t>Payment:</t>
  </si>
  <si>
    <t>Validity:</t>
  </si>
  <si>
    <t>QUOTATION</t>
  </si>
  <si>
    <t>Your Ref:</t>
  </si>
  <si>
    <t>Please revert for clarifications if any. Thank you for providing an opportunity to quote.</t>
  </si>
  <si>
    <t>Best Regards,</t>
  </si>
  <si>
    <t>Email:</t>
  </si>
  <si>
    <t>From:</t>
  </si>
  <si>
    <t>To:</t>
  </si>
  <si>
    <t>Attn:</t>
  </si>
  <si>
    <t>Dated:</t>
  </si>
  <si>
    <t>Thank you for your enquiry, we are pleased to offer the following in line with your requirement.</t>
  </si>
  <si>
    <t>Price:</t>
  </si>
  <si>
    <t>SL. No.</t>
  </si>
  <si>
    <t>Good Day ,</t>
  </si>
  <si>
    <t>Total Price (AED)</t>
  </si>
  <si>
    <t>Unit Price (AED)</t>
  </si>
  <si>
    <t>VAT 5% (AED).</t>
  </si>
  <si>
    <t>GRAND TOTAL AMOUNT (AED).</t>
  </si>
  <si>
    <t>Mr. Taheri Najmuddin / +971 58 552 2277</t>
  </si>
  <si>
    <t>Total Amount (AED).</t>
  </si>
  <si>
    <t>Stated in Description Column Against Each Item.</t>
  </si>
  <si>
    <t>15 days from offer date.</t>
  </si>
  <si>
    <t>Brand &amp; Model</t>
  </si>
  <si>
    <t>Delivery Lead Time</t>
  </si>
  <si>
    <t>Quotation Date:</t>
  </si>
  <si>
    <t>Quotation Ref:</t>
  </si>
  <si>
    <t>CP</t>
  </si>
  <si>
    <t>%</t>
  </si>
  <si>
    <t>SP</t>
  </si>
  <si>
    <t>Profit in AED</t>
  </si>
  <si>
    <t>30 Days Credit.</t>
  </si>
  <si>
    <t>DBQ-25</t>
  </si>
  <si>
    <t>1</t>
  </si>
  <si>
    <r>
      <rPr>
        <b/>
        <u/>
        <sz val="12"/>
        <color rgb="FF002060"/>
        <rFont val="Calibri"/>
        <family val="2"/>
      </rPr>
      <t>Your Requirement</t>
    </r>
    <r>
      <rPr>
        <sz val="12"/>
        <rFont val="Calibri"/>
        <family val="2"/>
      </rPr>
      <t xml:space="preserve">:
</t>
    </r>
    <r>
      <rPr>
        <b/>
        <u/>
        <sz val="12"/>
        <color rgb="FFFF0000"/>
        <rFont val="Calibri"/>
        <family val="2"/>
      </rPr>
      <t>We OFFER</t>
    </r>
    <r>
      <rPr>
        <sz val="12"/>
        <rFont val="Calibri"/>
        <family val="2"/>
      </rPr>
      <t xml:space="preserve">:
</t>
    </r>
  </si>
  <si>
    <t xml:space="preserve">Offer for </t>
  </si>
  <si>
    <t>Ex stock, subject to prior sales.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</si>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</sst>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2"/>
      <color rgb="FF00206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26">
    <xf numFmtId="0" fontId="0" fillId="0" borderId="0"/>
    <xf numFmtId="0" fontId="5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0" fillId="0" borderId="0"/>
    <xf numFmtId="0" fontId="10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90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164" fontId="18" fillId="8" borderId="9" xfId="279" applyFont="1" applyFill="1" applyBorder="1"/>
    <xf numFmtId="164" fontId="18" fillId="8" borderId="0" xfId="279" applyFont="1" applyFill="1" applyBorder="1"/>
    <xf numFmtId="164" fontId="12" fillId="8" borderId="5" xfId="279" applyFont="1" applyFill="1" applyBorder="1" applyAlignment="1">
      <alignment horizontal="center" vertical="center" wrapText="1"/>
    </xf>
    <xf numFmtId="164" fontId="12" fillId="6" borderId="14" xfId="279" applyFont="1" applyFill="1" applyBorder="1" applyAlignment="1">
      <alignment horizontal="center" vertical="center" wrapText="1"/>
    </xf>
    <xf numFmtId="164" fontId="18" fillId="8" borderId="15" xfId="279" applyFont="1" applyFill="1" applyBorder="1" applyAlignment="1">
      <alignment horizontal="center" vertical="center"/>
    </xf>
    <xf numFmtId="164" fontId="18" fillId="0" borderId="9" xfId="279" applyFont="1" applyBorder="1"/>
    <xf numFmtId="164" fontId="18" fillId="0" borderId="0" xfId="279" applyFont="1" applyBorder="1"/>
    <xf numFmtId="164" fontId="12" fillId="3" borderId="5" xfId="279" applyFont="1" applyFill="1" applyBorder="1" applyAlignment="1">
      <alignment horizontal="center" vertical="center" wrapText="1"/>
    </xf>
    <xf numFmtId="164" fontId="19" fillId="0" borderId="15" xfId="279" applyFont="1" applyBorder="1" applyAlignment="1">
      <alignment horizontal="center" vertical="center"/>
    </xf>
    <xf numFmtId="164" fontId="20" fillId="0" borderId="10" xfId="279" applyFont="1" applyFill="1" applyBorder="1"/>
    <xf numFmtId="164" fontId="20" fillId="0" borderId="12" xfId="279" applyFont="1" applyFill="1" applyBorder="1"/>
    <xf numFmtId="164" fontId="12" fillId="0" borderId="14" xfId="279" applyFont="1" applyFill="1" applyBorder="1" applyAlignment="1">
      <alignment horizontal="center" vertical="center" wrapText="1"/>
    </xf>
    <xf numFmtId="164" fontId="20" fillId="0" borderId="16" xfId="279" applyFont="1" applyFill="1" applyBorder="1" applyAlignment="1">
      <alignment horizontal="center" vertical="center"/>
    </xf>
    <xf numFmtId="10" fontId="18" fillId="7" borderId="9" xfId="280" applyNumberFormat="1" applyFont="1" applyFill="1" applyBorder="1"/>
    <xf numFmtId="10" fontId="18" fillId="7" borderId="0" xfId="280" applyNumberFormat="1" applyFont="1" applyFill="1" applyBorder="1"/>
    <xf numFmtId="10" fontId="12" fillId="7" borderId="5" xfId="280" applyNumberFormat="1" applyFont="1" applyFill="1" applyBorder="1" applyAlignment="1">
      <alignment horizontal="center" vertical="center" wrapText="1"/>
    </xf>
    <xf numFmtId="10" fontId="18" fillId="7" borderId="15" xfId="280" applyNumberFormat="1" applyFont="1" applyFill="1" applyBorder="1" applyAlignment="1">
      <alignment horizontal="center" vertical="center"/>
    </xf>
    <xf numFmtId="0" fontId="21" fillId="0" borderId="0" xfId="0" applyFont="1"/>
    <xf numFmtId="164" fontId="21" fillId="0" borderId="0" xfId="279" applyFont="1" applyAlignment="1">
      <alignment horizontal="center" vertical="center"/>
    </xf>
    <xf numFmtId="4" fontId="13" fillId="0" borderId="6" xfId="0" applyNumberFormat="1" applyFont="1" applyBorder="1" applyAlignment="1">
      <alignment horizontal="center" vertical="center" wrapText="1"/>
    </xf>
    <xf numFmtId="4" fontId="15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20" fillId="0" borderId="0" xfId="279" applyFont="1" applyFill="1" applyBorder="1"/>
    <xf numFmtId="0" fontId="22" fillId="0" borderId="0" xfId="0" applyFont="1" applyAlignment="1">
      <alignment vertical="center" wrapText="1"/>
    </xf>
    <xf numFmtId="0" fontId="3" fillId="0" borderId="22" xfId="0" applyFont="1" applyBorder="1" applyAlignment="1">
      <alignment horizontal="left" vertical="center"/>
    </xf>
    <xf numFmtId="0" fontId="4" fillId="0" borderId="23" xfId="0" applyFont="1" applyBorder="1"/>
    <xf numFmtId="0" fontId="0" fillId="0" borderId="2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3" xfId="0" applyBorder="1"/>
    <xf numFmtId="0" fontId="0" fillId="0" borderId="22" xfId="0" applyBorder="1" applyAlignment="1">
      <alignment horizontal="left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18" xfId="0" applyFont="1" applyBorder="1"/>
    <xf numFmtId="0" fontId="17" fillId="0" borderId="1" xfId="0" applyFont="1" applyBorder="1" applyAlignment="1">
      <alignment horizontal="left" vertical="top" wrapText="1"/>
    </xf>
    <xf numFmtId="49" fontId="15" fillId="5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8" fillId="0" borderId="8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right" vertical="center" wrapText="1"/>
    </xf>
    <xf numFmtId="0" fontId="13" fillId="0" borderId="7" xfId="0" applyFont="1" applyBorder="1" applyAlignment="1">
      <alignment horizontal="right" vertical="center" wrapText="1"/>
    </xf>
    <xf numFmtId="0" fontId="13" fillId="0" borderId="18" xfId="0" applyFont="1" applyBorder="1" applyAlignment="1">
      <alignment horizontal="right" vertical="center" wrapText="1"/>
    </xf>
    <xf numFmtId="0" fontId="13" fillId="0" borderId="2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right" vertical="center" wrapText="1"/>
    </xf>
    <xf numFmtId="0" fontId="13" fillId="0" borderId="4" xfId="0" applyFont="1" applyBorder="1" applyAlignment="1">
      <alignment horizontal="right" vertical="center" wrapText="1"/>
    </xf>
    <xf numFmtId="0" fontId="13" fillId="6" borderId="2" xfId="0" applyFont="1" applyFill="1" applyBorder="1" applyAlignment="1">
      <alignment horizontal="right" vertical="center" wrapText="1"/>
    </xf>
    <xf numFmtId="0" fontId="13" fillId="6" borderId="3" xfId="0" applyFont="1" applyFill="1" applyBorder="1" applyAlignment="1">
      <alignment horizontal="right" vertical="center" wrapText="1"/>
    </xf>
    <xf numFmtId="0" fontId="13" fillId="6" borderId="4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6" fillId="4" borderId="19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5" fillId="0" borderId="2" xfId="1" applyBorder="1" applyAlignment="1">
      <alignment horizontal="left" vertical="center" wrapText="1"/>
    </xf>
  </cellXfs>
  <cellStyles count="826">
    <cellStyle name="Comma" xfId="279" builtinId="3"/>
    <cellStyle name="Comma 10" xfId="4" xr:uid="{00000000-0005-0000-0000-000000000000}"/>
    <cellStyle name="Comma 10 2" xfId="89" xr:uid="{2B11522D-8543-4775-B6A8-5CD96469E669}"/>
    <cellStyle name="Comma 10 2 2" xfId="227" xr:uid="{D60F74B8-FCFB-4259-AC5D-72003B282627}"/>
    <cellStyle name="Comma 10 2 2 2" xfId="774" xr:uid="{E169F260-967D-4D41-83BF-AEC89335A042}"/>
    <cellStyle name="Comma 10 2 2 3" xfId="501" xr:uid="{6343FDD7-E618-4353-A3D1-5CAB685E71C9}"/>
    <cellStyle name="Comma 10 2 3" xfId="638" xr:uid="{EDBC1D6E-A596-4F07-AC47-2C34A3850C6A}"/>
    <cellStyle name="Comma 10 2 4" xfId="365" xr:uid="{C201C4D1-CFD8-45A0-A4CB-B9578112B532}"/>
    <cellStyle name="Comma 10 3" xfId="61" xr:uid="{6C439A28-5B29-4F53-A8BB-F321EB13CD5C}"/>
    <cellStyle name="Comma 10 3 2" xfId="199" xr:uid="{235EE9BA-D427-4573-A3E2-9A6B803294E4}"/>
    <cellStyle name="Comma 10 3 2 2" xfId="746" xr:uid="{973F44FF-A240-40E2-BFD2-BC6D320FFB1C}"/>
    <cellStyle name="Comma 10 3 2 3" xfId="473" xr:uid="{AF9EE98A-60DE-4EAA-92CC-2AB69302810D}"/>
    <cellStyle name="Comma 10 3 3" xfId="610" xr:uid="{CB68493B-3E19-4F5B-813B-F4ABA4601353}"/>
    <cellStyle name="Comma 10 3 4" xfId="337" xr:uid="{9376705B-8AA4-465C-B623-7E1568B1C13F}"/>
    <cellStyle name="Comma 10 4" xfId="33" xr:uid="{10E10DD4-DF71-4877-9548-A15F9EE58627}"/>
    <cellStyle name="Comma 10 4 2" xfId="171" xr:uid="{E6171509-4994-480C-89C9-E8099B821C6C}"/>
    <cellStyle name="Comma 10 4 2 2" xfId="718" xr:uid="{8CA6D5E4-5D0C-4AF6-A743-6F9CB66E8DC3}"/>
    <cellStyle name="Comma 10 4 2 3" xfId="445" xr:uid="{B00ED704-5A80-4E0D-8802-17332E9842CE}"/>
    <cellStyle name="Comma 10 4 3" xfId="582" xr:uid="{15CF3FAE-FF73-4AF0-BBAD-9EBA6177675F}"/>
    <cellStyle name="Comma 10 4 4" xfId="309" xr:uid="{B6000690-63FD-47A2-9667-9AC629E2070D}"/>
    <cellStyle name="Comma 10 5" xfId="117" xr:uid="{466F56B5-0E6F-4C73-8576-0676933CD604}"/>
    <cellStyle name="Comma 10 5 2" xfId="255" xr:uid="{BDC3A66C-93A6-4CAD-9156-2D4F7CACA067}"/>
    <cellStyle name="Comma 10 5 2 2" xfId="802" xr:uid="{76C3268A-3743-42B0-A9EA-481F16008BCB}"/>
    <cellStyle name="Comma 10 5 2 3" xfId="529" xr:uid="{7AF79E59-5AB9-4CEA-8880-7F179B94D924}"/>
    <cellStyle name="Comma 10 5 3" xfId="666" xr:uid="{032ED824-B579-48C6-A18E-8AEDA1803DA7}"/>
    <cellStyle name="Comma 10 5 4" xfId="393" xr:uid="{50CD0247-902B-4EE6-BE69-49AA5E6BFF93}"/>
    <cellStyle name="Comma 10 6" xfId="145" xr:uid="{C2EAF41E-F235-4A57-B4FE-6B28972178BD}"/>
    <cellStyle name="Comma 10 6 2" xfId="692" xr:uid="{A4FAE87F-E13D-46F8-BF53-A201316D6035}"/>
    <cellStyle name="Comma 10 6 3" xfId="419" xr:uid="{0C6B86D3-7F15-4AEA-92BC-1C32690C5C32}"/>
    <cellStyle name="Comma 10 7" xfId="556" xr:uid="{849E5B69-BF49-427F-826B-DE9B905BE4CA}"/>
    <cellStyle name="Comma 10 8" xfId="283" xr:uid="{0A9ABCDF-561D-4E03-A76C-09BFE4B16802}"/>
    <cellStyle name="Comma 11" xfId="5" xr:uid="{00000000-0005-0000-0000-000001000000}"/>
    <cellStyle name="Comma 11 2" xfId="90" xr:uid="{D0FA204C-0E33-4ECA-90DE-B7A57F7093A2}"/>
    <cellStyle name="Comma 11 2 2" xfId="228" xr:uid="{881F5833-FE9E-4331-816B-E0B5AAD167C6}"/>
    <cellStyle name="Comma 11 2 2 2" xfId="775" xr:uid="{E27E2055-3970-423E-A86A-17CC2579F1D4}"/>
    <cellStyle name="Comma 11 2 2 3" xfId="502" xr:uid="{7C5FBB93-5485-4A66-9E1B-DCAADE067368}"/>
    <cellStyle name="Comma 11 2 3" xfId="639" xr:uid="{DD828399-E0E4-4989-9A87-069B6703B391}"/>
    <cellStyle name="Comma 11 2 4" xfId="366" xr:uid="{4C7763D7-A78E-4458-B90F-78D964E6DBF0}"/>
    <cellStyle name="Comma 11 3" xfId="62" xr:uid="{524FB3B6-9266-4D76-9ED6-F077B726E96F}"/>
    <cellStyle name="Comma 11 3 2" xfId="200" xr:uid="{3CA23012-66B2-4786-8C8C-64F5617B0F12}"/>
    <cellStyle name="Comma 11 3 2 2" xfId="747" xr:uid="{84EAE628-7AA4-48F4-9813-1A5F0CD03B18}"/>
    <cellStyle name="Comma 11 3 2 3" xfId="474" xr:uid="{2A6397B1-E29E-4779-8B71-BFBC6D708123}"/>
    <cellStyle name="Comma 11 3 3" xfId="611" xr:uid="{52FDA40D-1811-442D-8445-F3ADD2AE422B}"/>
    <cellStyle name="Comma 11 3 4" xfId="338" xr:uid="{8E1AE429-93B4-4F79-A726-841A55F0EA74}"/>
    <cellStyle name="Comma 11 4" xfId="34" xr:uid="{F1BFB754-551D-4407-82FF-83391C3B2B53}"/>
    <cellStyle name="Comma 11 4 2" xfId="172" xr:uid="{7DF88672-161C-43AC-9859-28E47913AC85}"/>
    <cellStyle name="Comma 11 4 2 2" xfId="719" xr:uid="{8B9F22AF-4E12-4C78-8848-DCBA8A901BB4}"/>
    <cellStyle name="Comma 11 4 2 3" xfId="446" xr:uid="{2C3CFC5F-2FE0-4E93-AA8E-692B435886A5}"/>
    <cellStyle name="Comma 11 4 3" xfId="583" xr:uid="{4C79EAF2-0075-42FB-86FD-EDC83D4909F5}"/>
    <cellStyle name="Comma 11 4 4" xfId="310" xr:uid="{AD666C20-77E7-4089-9CB1-C473FA175205}"/>
    <cellStyle name="Comma 11 5" xfId="118" xr:uid="{08C7DB38-91D9-411B-B50E-3344C86F7B9F}"/>
    <cellStyle name="Comma 11 5 2" xfId="256" xr:uid="{205854D8-16C0-419B-8E45-B4C726A7E8E1}"/>
    <cellStyle name="Comma 11 5 2 2" xfId="803" xr:uid="{F37CA452-CEB8-46DD-8297-BD392E1FCCB0}"/>
    <cellStyle name="Comma 11 5 2 3" xfId="530" xr:uid="{811AE313-5EBA-456D-A230-1F54686A817F}"/>
    <cellStyle name="Comma 11 5 3" xfId="667" xr:uid="{110B64D3-B9DF-4883-A488-F5C942E7C44F}"/>
    <cellStyle name="Comma 11 5 4" xfId="394" xr:uid="{D2992475-F9E4-4353-B761-A207C7500636}"/>
    <cellStyle name="Comma 11 6" xfId="146" xr:uid="{65A30EE3-D1C7-49C7-9F7F-9640251A1988}"/>
    <cellStyle name="Comma 11 6 2" xfId="693" xr:uid="{4E8D8948-0FEB-4DB0-8349-1C0598D5CCAB}"/>
    <cellStyle name="Comma 11 6 3" xfId="420" xr:uid="{B2A9EBFE-6D3D-4C2D-8344-9A9DAA1D4D54}"/>
    <cellStyle name="Comma 11 7" xfId="557" xr:uid="{58642387-A68E-4D5B-A372-484E30A33257}"/>
    <cellStyle name="Comma 11 8" xfId="284" xr:uid="{34FAACF0-DA4A-459B-8476-78F8DF19A1C3}"/>
    <cellStyle name="Comma 12" xfId="6" xr:uid="{00000000-0005-0000-0000-000002000000}"/>
    <cellStyle name="Comma 12 2" xfId="91" xr:uid="{8D06598E-3C4C-4596-867A-12F1690D2DD9}"/>
    <cellStyle name="Comma 12 2 2" xfId="229" xr:uid="{FDA5B79D-BC37-4F76-AFB4-7D7BBE767F46}"/>
    <cellStyle name="Comma 12 2 2 2" xfId="776" xr:uid="{4A889433-E97A-494C-AC87-5834909BE2C3}"/>
    <cellStyle name="Comma 12 2 2 3" xfId="503" xr:uid="{6350761E-D7E0-4DED-A277-E84E954584B5}"/>
    <cellStyle name="Comma 12 2 3" xfId="640" xr:uid="{FC283849-F699-4411-B102-E71C15CE1EF6}"/>
    <cellStyle name="Comma 12 2 4" xfId="367" xr:uid="{67D110A6-9C8A-49B4-8A28-5DE9D673C622}"/>
    <cellStyle name="Comma 12 3" xfId="63" xr:uid="{EEEF9965-BA94-448E-AB17-E36AB3945F52}"/>
    <cellStyle name="Comma 12 3 2" xfId="201" xr:uid="{7F0203AE-58E0-40EF-8D59-03BDE1626CBC}"/>
    <cellStyle name="Comma 12 3 2 2" xfId="748" xr:uid="{7936683C-BB18-40BE-B61A-28944DAF9923}"/>
    <cellStyle name="Comma 12 3 2 3" xfId="475" xr:uid="{AB42CB86-EB2D-45C9-BF42-7D24E45A6E03}"/>
    <cellStyle name="Comma 12 3 3" xfId="612" xr:uid="{BB75C5E1-84EF-41F8-9147-01DACE58C3AB}"/>
    <cellStyle name="Comma 12 3 4" xfId="339" xr:uid="{32A471B8-0F0F-43B3-840D-EBAA7E6A631D}"/>
    <cellStyle name="Comma 12 4" xfId="35" xr:uid="{0AE7113B-F1B9-47EB-99E8-76A89CD17420}"/>
    <cellStyle name="Comma 12 4 2" xfId="173" xr:uid="{6BCA6FB9-34B4-42FE-8A52-C0E1902721B9}"/>
    <cellStyle name="Comma 12 4 2 2" xfId="720" xr:uid="{C290A07B-1CCB-47E5-AD40-E59BCBC0004C}"/>
    <cellStyle name="Comma 12 4 2 3" xfId="447" xr:uid="{90E4ECDE-590B-4150-9A3D-1B760CAAF383}"/>
    <cellStyle name="Comma 12 4 3" xfId="584" xr:uid="{0615EC74-B725-40A4-BC9B-A01CC6518C6D}"/>
    <cellStyle name="Comma 12 4 4" xfId="311" xr:uid="{AD596B59-870A-4672-BEE0-9E147A244C9D}"/>
    <cellStyle name="Comma 12 5" xfId="119" xr:uid="{4B836881-AA98-477A-A15B-811D0BCDAEFA}"/>
    <cellStyle name="Comma 12 5 2" xfId="257" xr:uid="{CD5852F4-A818-49CE-AD91-01B32B6F49D1}"/>
    <cellStyle name="Comma 12 5 2 2" xfId="804" xr:uid="{1E4006F2-C6A8-47BF-8C48-7DD79C1C91F9}"/>
    <cellStyle name="Comma 12 5 2 3" xfId="531" xr:uid="{B89694F4-5FB7-4831-8B5D-5555E45F478F}"/>
    <cellStyle name="Comma 12 5 3" xfId="668" xr:uid="{208EB91D-830F-4267-99C3-2264E57B0BF8}"/>
    <cellStyle name="Comma 12 5 4" xfId="395" xr:uid="{091AEB02-D71C-4B85-B968-2CCD4CA51950}"/>
    <cellStyle name="Comma 12 6" xfId="147" xr:uid="{75417783-607B-4F02-A8A3-188435FBFB33}"/>
    <cellStyle name="Comma 12 6 2" xfId="694" xr:uid="{1FD2D2E5-407E-4873-8A5F-30A687A75C02}"/>
    <cellStyle name="Comma 12 6 3" xfId="421" xr:uid="{8804BC6C-83BD-4958-AE3D-C2198ACCD13C}"/>
    <cellStyle name="Comma 12 7" xfId="558" xr:uid="{1E5E3427-FE8C-4371-B818-8B013B4A767A}"/>
    <cellStyle name="Comma 12 8" xfId="285" xr:uid="{C00BA9CC-56B2-4D93-A74C-E220C4510CBD}"/>
    <cellStyle name="Comma 13" xfId="7" xr:uid="{00000000-0005-0000-0000-000003000000}"/>
    <cellStyle name="Comma 13 2" xfId="92" xr:uid="{F62DEAA9-4BA7-4B09-930A-C959DE1C8DBF}"/>
    <cellStyle name="Comma 13 2 2" xfId="230" xr:uid="{480C7C5C-FF94-4968-9D2C-CF92F3FE0335}"/>
    <cellStyle name="Comma 13 2 2 2" xfId="777" xr:uid="{29C121C1-3BDA-4591-BAA6-2363CA0ED273}"/>
    <cellStyle name="Comma 13 2 2 3" xfId="504" xr:uid="{032E9318-0A1F-4B34-8A22-72A9977B486B}"/>
    <cellStyle name="Comma 13 2 3" xfId="641" xr:uid="{13438FF2-8151-4299-BF79-0468920B1F63}"/>
    <cellStyle name="Comma 13 2 4" xfId="368" xr:uid="{76ECC7B2-C3B1-420B-AC4D-E9EB81A5F75C}"/>
    <cellStyle name="Comma 13 3" xfId="64" xr:uid="{AE3018DA-9A01-4BC1-B88D-93619510AF50}"/>
    <cellStyle name="Comma 13 3 2" xfId="202" xr:uid="{0EC1C9B1-A7C8-4F5A-ACB2-604964D6B4C1}"/>
    <cellStyle name="Comma 13 3 2 2" xfId="749" xr:uid="{274B149D-7AC0-4A87-9C2A-D2A8BF2873DA}"/>
    <cellStyle name="Comma 13 3 2 3" xfId="476" xr:uid="{57553A6D-6DA6-46C8-8836-32B50804FD29}"/>
    <cellStyle name="Comma 13 3 3" xfId="613" xr:uid="{6C9A82AE-69DB-425D-9A83-FB2048F8E306}"/>
    <cellStyle name="Comma 13 3 4" xfId="340" xr:uid="{D12F6251-072F-4E70-B8DC-55A65672E47E}"/>
    <cellStyle name="Comma 13 4" xfId="36" xr:uid="{56CF0807-438E-488F-A463-E1C60C85B6D3}"/>
    <cellStyle name="Comma 13 4 2" xfId="174" xr:uid="{E8277751-F228-4E80-8157-A811DF26939A}"/>
    <cellStyle name="Comma 13 4 2 2" xfId="721" xr:uid="{15803A71-550C-44E0-9CE2-7AC2AED08BBC}"/>
    <cellStyle name="Comma 13 4 2 3" xfId="448" xr:uid="{79A6B3D9-CF14-4AC2-9336-D1F8D3374C9D}"/>
    <cellStyle name="Comma 13 4 3" xfId="585" xr:uid="{BB5EF017-DE4E-415C-9BD1-565BF1E27842}"/>
    <cellStyle name="Comma 13 4 4" xfId="312" xr:uid="{E98E597A-D309-4A5D-900D-AE5CD4620AA0}"/>
    <cellStyle name="Comma 13 5" xfId="120" xr:uid="{11141CEE-9B46-4089-9EF6-11C2487C5508}"/>
    <cellStyle name="Comma 13 5 2" xfId="258" xr:uid="{AC4E514B-2CF0-43CA-A4A5-5DFB7DF3262A}"/>
    <cellStyle name="Comma 13 5 2 2" xfId="805" xr:uid="{6B23FD32-CB88-4462-9DD0-7D34EB68EAC3}"/>
    <cellStyle name="Comma 13 5 2 3" xfId="532" xr:uid="{25C65974-88D7-4E65-A8F0-795A81AFFDA3}"/>
    <cellStyle name="Comma 13 5 3" xfId="669" xr:uid="{A616544B-3C8C-4A51-B547-63448A842570}"/>
    <cellStyle name="Comma 13 5 4" xfId="396" xr:uid="{49C9519E-4F6E-46E0-8541-908F994458A8}"/>
    <cellStyle name="Comma 13 6" xfId="148" xr:uid="{3F6EC903-AD77-45FF-A58A-D179DC66C611}"/>
    <cellStyle name="Comma 13 6 2" xfId="695" xr:uid="{F50CF535-675E-447E-A917-C919CD803FAB}"/>
    <cellStyle name="Comma 13 6 3" xfId="422" xr:uid="{269D1C60-968F-4D6E-9D65-8039983A83C2}"/>
    <cellStyle name="Comma 13 7" xfId="559" xr:uid="{CB8828A8-F024-41F7-8FC3-1009E29F785D}"/>
    <cellStyle name="Comma 13 8" xfId="286" xr:uid="{AB3AD1F7-D5FE-4F1A-8CEA-D207C4CD3D30}"/>
    <cellStyle name="Comma 14" xfId="8" xr:uid="{00000000-0005-0000-0000-000004000000}"/>
    <cellStyle name="Comma 14 2" xfId="93" xr:uid="{739B0097-24C3-45DB-A8EA-D2942A013F9A}"/>
    <cellStyle name="Comma 14 2 2" xfId="231" xr:uid="{229BE2E5-9BA9-4C44-B7F8-5EA8F0534C04}"/>
    <cellStyle name="Comma 14 2 2 2" xfId="778" xr:uid="{05C455A0-6BB6-4B0B-8023-1F7503E9F82A}"/>
    <cellStyle name="Comma 14 2 2 3" xfId="505" xr:uid="{FDB0ACBE-3E44-488A-AACF-DC686DD71694}"/>
    <cellStyle name="Comma 14 2 3" xfId="642" xr:uid="{FAB0A919-8168-460B-9467-C582D272E622}"/>
    <cellStyle name="Comma 14 2 4" xfId="369" xr:uid="{082760F0-ED37-4F30-B8A1-410083C52768}"/>
    <cellStyle name="Comma 14 3" xfId="65" xr:uid="{7D6501DA-0685-464E-9D5B-F510205E0223}"/>
    <cellStyle name="Comma 14 3 2" xfId="203" xr:uid="{98CFFE2C-804F-40A6-AECD-690428F0603C}"/>
    <cellStyle name="Comma 14 3 2 2" xfId="750" xr:uid="{177FCA9A-D184-49E2-9D01-0617251A4CFE}"/>
    <cellStyle name="Comma 14 3 2 3" xfId="477" xr:uid="{5314CC86-82E6-43B4-BCDA-7A48564D047D}"/>
    <cellStyle name="Comma 14 3 3" xfId="614" xr:uid="{0FC61801-EC64-44D4-982F-88EA2A546168}"/>
    <cellStyle name="Comma 14 3 4" xfId="341" xr:uid="{87C0D5BB-C3B0-487E-9439-DC352055BB6E}"/>
    <cellStyle name="Comma 14 4" xfId="37" xr:uid="{F596FC82-5B39-41D1-84CC-25DBA5CE8681}"/>
    <cellStyle name="Comma 14 4 2" xfId="175" xr:uid="{B29062D5-47B6-4A7E-A1A6-B2A4718903D5}"/>
    <cellStyle name="Comma 14 4 2 2" xfId="722" xr:uid="{EBED4005-C2B6-4F7D-9C0D-E1FED26666B5}"/>
    <cellStyle name="Comma 14 4 2 3" xfId="449" xr:uid="{086E6A19-C3D2-48EC-9EAE-21443B2D13EA}"/>
    <cellStyle name="Comma 14 4 3" xfId="586" xr:uid="{D7928C43-633B-479B-8E1F-88590DA4270B}"/>
    <cellStyle name="Comma 14 4 4" xfId="313" xr:uid="{D596F90A-311C-405B-8FB3-B1A4C54BB8D5}"/>
    <cellStyle name="Comma 14 5" xfId="121" xr:uid="{EBF8F54C-B21C-455C-929E-26677C42E9CD}"/>
    <cellStyle name="Comma 14 5 2" xfId="259" xr:uid="{80CCC2EE-CB31-4D25-A0DF-78B4F0CCDBB7}"/>
    <cellStyle name="Comma 14 5 2 2" xfId="806" xr:uid="{399704B1-F49D-4432-9562-A7BD1FED4AF9}"/>
    <cellStyle name="Comma 14 5 2 3" xfId="533" xr:uid="{2EFCF493-5BA5-42CB-B798-CA8DBB3C3035}"/>
    <cellStyle name="Comma 14 5 3" xfId="670" xr:uid="{21627A98-F455-4064-A953-B528B5274E0F}"/>
    <cellStyle name="Comma 14 5 4" xfId="397" xr:uid="{D09081CA-4BA7-474E-A3AB-D516C207730C}"/>
    <cellStyle name="Comma 14 6" xfId="149" xr:uid="{F54DC420-0760-44C5-86EB-E98B4AC40B87}"/>
    <cellStyle name="Comma 14 6 2" xfId="696" xr:uid="{406A19ED-9378-415A-A7A4-89A29C85FD67}"/>
    <cellStyle name="Comma 14 6 3" xfId="423" xr:uid="{6F6DB1C1-8093-4E16-A870-D993D5D1DB0B}"/>
    <cellStyle name="Comma 14 7" xfId="560" xr:uid="{6BE46E3E-7F43-41EE-B5D6-35DF4D016FCE}"/>
    <cellStyle name="Comma 14 8" xfId="287" xr:uid="{287254B4-030C-43A7-9CE3-167610178464}"/>
    <cellStyle name="Comma 15" xfId="9" xr:uid="{00000000-0005-0000-0000-000005000000}"/>
    <cellStyle name="Comma 15 2" xfId="94" xr:uid="{F99AED99-4816-4CCE-A5ED-BCC6BF08543C}"/>
    <cellStyle name="Comma 15 2 2" xfId="232" xr:uid="{A10896CE-3EA5-4C7D-B360-4A711BD7DB85}"/>
    <cellStyle name="Comma 15 2 2 2" xfId="779" xr:uid="{07BE37B5-946E-4221-81B8-B00E8A61DD57}"/>
    <cellStyle name="Comma 15 2 2 3" xfId="506" xr:uid="{F81F8D0E-46B0-49B3-BD5D-02594818387F}"/>
    <cellStyle name="Comma 15 2 3" xfId="643" xr:uid="{37BA7B2C-82E4-44EF-8AEA-BE1D026E20B3}"/>
    <cellStyle name="Comma 15 2 4" xfId="370" xr:uid="{D2DA60AB-9F05-4D1F-8121-4AB5B7441D16}"/>
    <cellStyle name="Comma 15 3" xfId="66" xr:uid="{1BD7B5AD-80A1-4D62-9C0B-688552206FB2}"/>
    <cellStyle name="Comma 15 3 2" xfId="204" xr:uid="{5417BF43-6B94-496B-AD63-A603444364FD}"/>
    <cellStyle name="Comma 15 3 2 2" xfId="751" xr:uid="{67303EB5-AAFE-46F1-B0C8-F1D94716B6DE}"/>
    <cellStyle name="Comma 15 3 2 3" xfId="478" xr:uid="{9671D3EF-0728-4A3A-9B3F-5C034B2CFA8E}"/>
    <cellStyle name="Comma 15 3 3" xfId="615" xr:uid="{B58080CD-2058-4FFA-9613-6C4C6DFC9916}"/>
    <cellStyle name="Comma 15 3 4" xfId="342" xr:uid="{9281ECE3-3700-4023-9835-2266BD0A7348}"/>
    <cellStyle name="Comma 15 4" xfId="38" xr:uid="{91987478-792E-490E-B5A7-5F4685349C82}"/>
    <cellStyle name="Comma 15 4 2" xfId="176" xr:uid="{F1D1B7F9-2DCA-4104-A0B2-03AC5260F075}"/>
    <cellStyle name="Comma 15 4 2 2" xfId="723" xr:uid="{EF544495-49B0-44B3-9B89-90524C1D9E4B}"/>
    <cellStyle name="Comma 15 4 2 3" xfId="450" xr:uid="{EBAB6571-62BC-4320-B0C3-E1F7D98BDF50}"/>
    <cellStyle name="Comma 15 4 3" xfId="587" xr:uid="{DDC24B9E-69E0-4AEB-84AA-657A7B5D032E}"/>
    <cellStyle name="Comma 15 4 4" xfId="314" xr:uid="{4C19CBA7-96EF-47EF-B252-7725C1D83E83}"/>
    <cellStyle name="Comma 15 5" xfId="122" xr:uid="{08068EC4-831C-4775-9AC6-09894E1DC41A}"/>
    <cellStyle name="Comma 15 5 2" xfId="260" xr:uid="{13583F63-CB56-479E-A6DD-C6BB6C804A7D}"/>
    <cellStyle name="Comma 15 5 2 2" xfId="807" xr:uid="{DE667B78-D20F-4775-954C-4F2CC0F6BC83}"/>
    <cellStyle name="Comma 15 5 2 3" xfId="534" xr:uid="{D026E51C-1114-4072-B927-D75DF11EC818}"/>
    <cellStyle name="Comma 15 5 3" xfId="671" xr:uid="{4DC18282-F349-4B22-9BB7-AB69D06868E9}"/>
    <cellStyle name="Comma 15 5 4" xfId="398" xr:uid="{0B5DB89E-CE61-4FC8-AB52-40BE4008AD6E}"/>
    <cellStyle name="Comma 15 6" xfId="150" xr:uid="{BCA32FF4-F66A-42A0-85AD-7FB108AD2DE2}"/>
    <cellStyle name="Comma 15 6 2" xfId="697" xr:uid="{C7DC8E35-CB27-4A5C-BB47-43CBA323A249}"/>
    <cellStyle name="Comma 15 6 3" xfId="424" xr:uid="{4D2787FD-E5DA-4211-A69A-79A2E87387B2}"/>
    <cellStyle name="Comma 15 7" xfId="561" xr:uid="{9DDB31F7-C083-44D3-93EB-B9F1B1CD1817}"/>
    <cellStyle name="Comma 15 8" xfId="288" xr:uid="{563A4221-0CD5-476C-860F-9E56CC8B9453}"/>
    <cellStyle name="Comma 16" xfId="10" xr:uid="{00000000-0005-0000-0000-000006000000}"/>
    <cellStyle name="Comma 16 2" xfId="95" xr:uid="{97C3CBEB-0E5D-4BFF-929A-5FEB990F6D28}"/>
    <cellStyle name="Comma 16 2 2" xfId="233" xr:uid="{00A45B17-3D7F-4FB3-88E0-8D79AEDFB1CF}"/>
    <cellStyle name="Comma 16 2 2 2" xfId="780" xr:uid="{89BF43FD-578B-432C-83C7-EBC7BA854931}"/>
    <cellStyle name="Comma 16 2 2 3" xfId="507" xr:uid="{860682AC-B665-4F5A-A62D-C482137D3554}"/>
    <cellStyle name="Comma 16 2 3" xfId="644" xr:uid="{368B9E95-26F0-439D-B109-DEDBEA31423F}"/>
    <cellStyle name="Comma 16 2 4" xfId="371" xr:uid="{6D700B23-32AB-4828-9CD8-F3DA22501042}"/>
    <cellStyle name="Comma 16 3" xfId="67" xr:uid="{4D80BCA6-E50D-4FC1-AA53-FCB791DC4330}"/>
    <cellStyle name="Comma 16 3 2" xfId="205" xr:uid="{631180DC-0DD2-4BA8-9506-CE9D7CE5D103}"/>
    <cellStyle name="Comma 16 3 2 2" xfId="752" xr:uid="{E58F0790-85A7-448E-9A7D-6DC98D087719}"/>
    <cellStyle name="Comma 16 3 2 3" xfId="479" xr:uid="{808E9E00-4B3F-48CB-8B11-F3EAB1E7C032}"/>
    <cellStyle name="Comma 16 3 3" xfId="616" xr:uid="{352DAFC1-12CD-4B7B-8B5D-32E804872562}"/>
    <cellStyle name="Comma 16 3 4" xfId="343" xr:uid="{0106E50E-B9BF-41DE-BA67-8086069E95DF}"/>
    <cellStyle name="Comma 16 4" xfId="39" xr:uid="{069BA982-64F9-4D27-8FC6-1686C2DA6DF9}"/>
    <cellStyle name="Comma 16 4 2" xfId="177" xr:uid="{0AD2BE3B-EBE6-4B3E-8543-9D96373EE2D9}"/>
    <cellStyle name="Comma 16 4 2 2" xfId="724" xr:uid="{6BF3533B-BD82-4ADA-BD55-8AC511A7CD06}"/>
    <cellStyle name="Comma 16 4 2 3" xfId="451" xr:uid="{4C0696A5-A04A-47DB-9695-566545358583}"/>
    <cellStyle name="Comma 16 4 3" xfId="588" xr:uid="{D14C4075-B6D1-432A-BE10-3DD5D364953F}"/>
    <cellStyle name="Comma 16 4 4" xfId="315" xr:uid="{C35C776F-2B7F-43B3-9E06-1EDD9AF0C674}"/>
    <cellStyle name="Comma 16 5" xfId="123" xr:uid="{3B7E2EF7-E9A8-4293-90F0-1D43A2EB2D7E}"/>
    <cellStyle name="Comma 16 5 2" xfId="261" xr:uid="{C4A1C6B6-DF3A-4ED0-A493-3C40BB82A7B0}"/>
    <cellStyle name="Comma 16 5 2 2" xfId="808" xr:uid="{F36983C9-2B34-4A7D-81B5-BE34BBBB7F39}"/>
    <cellStyle name="Comma 16 5 2 3" xfId="535" xr:uid="{EE4F574F-D762-409A-9D45-2F230F2B130B}"/>
    <cellStyle name="Comma 16 5 3" xfId="672" xr:uid="{A84376F0-0DBD-4495-A59A-ADFAE0FD27F5}"/>
    <cellStyle name="Comma 16 5 4" xfId="399" xr:uid="{DD3755D7-C524-47B5-A568-28AB1241A576}"/>
    <cellStyle name="Comma 16 6" xfId="151" xr:uid="{C353CDDD-9B4C-404A-9507-BC5447CC56DD}"/>
    <cellStyle name="Comma 16 6 2" xfId="698" xr:uid="{A6BB3C1F-8838-40A3-9B13-586AA25D0F5E}"/>
    <cellStyle name="Comma 16 6 3" xfId="425" xr:uid="{BD5BDE87-A187-40E9-B506-43DE1FB1CD32}"/>
    <cellStyle name="Comma 16 7" xfId="562" xr:uid="{B2893423-A703-4103-9D33-FE26B288AF1D}"/>
    <cellStyle name="Comma 16 8" xfId="289" xr:uid="{80DE1ABA-021F-41A9-835D-57FE1C771965}"/>
    <cellStyle name="Comma 17" xfId="11" xr:uid="{00000000-0005-0000-0000-000007000000}"/>
    <cellStyle name="Comma 17 2" xfId="96" xr:uid="{704C6C85-9DDE-4DE0-9E66-CAA5160BFBEF}"/>
    <cellStyle name="Comma 17 2 2" xfId="234" xr:uid="{09CF791D-E714-4E93-BE67-7C875618F5E9}"/>
    <cellStyle name="Comma 17 2 2 2" xfId="781" xr:uid="{1A04A2D8-A1C3-4AF7-95FD-DE7238EFDFB4}"/>
    <cellStyle name="Comma 17 2 2 3" xfId="508" xr:uid="{1F41C1E7-CAED-4FD1-89BE-E55DA943592C}"/>
    <cellStyle name="Comma 17 2 3" xfId="645" xr:uid="{534C0DB4-086E-41E2-9EC4-835EB134F905}"/>
    <cellStyle name="Comma 17 2 4" xfId="372" xr:uid="{ED4CD228-8D0D-40B1-8CBF-508F6001F84D}"/>
    <cellStyle name="Comma 17 3" xfId="68" xr:uid="{312FB123-F532-45A1-87A8-C24FB5840E72}"/>
    <cellStyle name="Comma 17 3 2" xfId="206" xr:uid="{6172B760-EA8D-427A-8FE7-12700AACF238}"/>
    <cellStyle name="Comma 17 3 2 2" xfId="753" xr:uid="{FFBE9CE7-4A8A-4770-822D-1AEBF62D4831}"/>
    <cellStyle name="Comma 17 3 2 3" xfId="480" xr:uid="{4CCD6BB7-DFD9-4F12-8BE3-EEA507A2D16E}"/>
    <cellStyle name="Comma 17 3 3" xfId="617" xr:uid="{195CAB1E-148A-4D0A-AEBF-666001769529}"/>
    <cellStyle name="Comma 17 3 4" xfId="344" xr:uid="{8407EC47-E9FA-416B-9FFF-865D7EBC4AAE}"/>
    <cellStyle name="Comma 17 4" xfId="40" xr:uid="{8758B560-90F3-4FEB-85D9-AEB6494E9143}"/>
    <cellStyle name="Comma 17 4 2" xfId="178" xr:uid="{38AB0EA5-B4E3-4DA6-B90C-E17BBBF88CD5}"/>
    <cellStyle name="Comma 17 4 2 2" xfId="725" xr:uid="{73F1DC16-2783-44EB-BA37-5F954C6ED055}"/>
    <cellStyle name="Comma 17 4 2 3" xfId="452" xr:uid="{2219CC29-C269-4CF0-AA31-C6604B357CEE}"/>
    <cellStyle name="Comma 17 4 3" xfId="589" xr:uid="{9666FE18-44E0-4B67-96D8-68085B39D39A}"/>
    <cellStyle name="Comma 17 4 4" xfId="316" xr:uid="{3E7E6C10-7D58-4074-B61B-88710A4B26CA}"/>
    <cellStyle name="Comma 17 5" xfId="124" xr:uid="{225CAD9B-2163-4817-8950-D7A75781461C}"/>
    <cellStyle name="Comma 17 5 2" xfId="262" xr:uid="{8522FDF5-CD74-45EB-AA7B-A7A31DBC1BB8}"/>
    <cellStyle name="Comma 17 5 2 2" xfId="809" xr:uid="{9F4D2D49-462A-4C11-8EB8-1CB7AD2349FC}"/>
    <cellStyle name="Comma 17 5 2 3" xfId="536" xr:uid="{974A23D9-6DEF-4E5F-BF03-837E77438676}"/>
    <cellStyle name="Comma 17 5 3" xfId="673" xr:uid="{20EF9AF9-EFF3-4196-8A27-91350C652D92}"/>
    <cellStyle name="Comma 17 5 4" xfId="400" xr:uid="{D686A03F-9CA1-4090-A413-8D28F1A346F1}"/>
    <cellStyle name="Comma 17 6" xfId="152" xr:uid="{216DC84A-E2AD-4DD6-A53E-2AFD97D31967}"/>
    <cellStyle name="Comma 17 6 2" xfId="699" xr:uid="{0302F90F-AE90-45AB-A637-F40D2A7EA995}"/>
    <cellStyle name="Comma 17 6 3" xfId="426" xr:uid="{08753518-A748-4964-84AB-A0D1A415BA05}"/>
    <cellStyle name="Comma 17 7" xfId="563" xr:uid="{CB56EA49-52A6-4B41-BEA0-9B15D6081696}"/>
    <cellStyle name="Comma 17 8" xfId="290" xr:uid="{74D974B7-5A99-40DF-A33C-65E2F81B00FC}"/>
    <cellStyle name="Comma 18" xfId="12" xr:uid="{00000000-0005-0000-0000-000008000000}"/>
    <cellStyle name="Comma 18 2" xfId="97" xr:uid="{827F01F1-EE60-47CE-8E1A-FEB508D2ECA9}"/>
    <cellStyle name="Comma 18 2 2" xfId="235" xr:uid="{43BB709F-862C-4F07-8846-B726DCF80369}"/>
    <cellStyle name="Comma 18 2 2 2" xfId="782" xr:uid="{878275E0-9894-42F9-A661-CB88DB7BEC31}"/>
    <cellStyle name="Comma 18 2 2 3" xfId="509" xr:uid="{F17C134A-8B66-4D88-9E37-FFC28C95771B}"/>
    <cellStyle name="Comma 18 2 3" xfId="646" xr:uid="{0F6BF2F5-E560-4591-8E3A-8556AF94D7FD}"/>
    <cellStyle name="Comma 18 2 4" xfId="373" xr:uid="{ABA42403-932D-45E6-B1EA-5810DFBC01EC}"/>
    <cellStyle name="Comma 18 3" xfId="69" xr:uid="{3CD1E384-278A-4F51-9E38-956666DF7B52}"/>
    <cellStyle name="Comma 18 3 2" xfId="207" xr:uid="{95C2EB24-0666-4DDD-92D7-C9EAF2BBCB1A}"/>
    <cellStyle name="Comma 18 3 2 2" xfId="754" xr:uid="{64F59AD3-D75D-42C9-A04B-FE5189501090}"/>
    <cellStyle name="Comma 18 3 2 3" xfId="481" xr:uid="{CA364615-B779-4A39-ADC7-30DA086F9405}"/>
    <cellStyle name="Comma 18 3 3" xfId="618" xr:uid="{3EEB3A81-12F2-4BCE-8927-C1423D8CE979}"/>
    <cellStyle name="Comma 18 3 4" xfId="345" xr:uid="{17B4EA66-B1CD-49B6-A984-EDE45EE1B3EE}"/>
    <cellStyle name="Comma 18 4" xfId="41" xr:uid="{A7F91894-AC2B-4FC9-A188-A19B2E3BF54F}"/>
    <cellStyle name="Comma 18 4 2" xfId="179" xr:uid="{9C6703C9-EEAD-4BF6-9FCC-FD8F9BA94CDE}"/>
    <cellStyle name="Comma 18 4 2 2" xfId="726" xr:uid="{F738E358-3596-45CD-88D0-486C0EC772D7}"/>
    <cellStyle name="Comma 18 4 2 3" xfId="453" xr:uid="{7F25F178-E373-451E-87A6-D4EAC7FB5C23}"/>
    <cellStyle name="Comma 18 4 3" xfId="590" xr:uid="{419F1CAB-BE7E-4930-90C2-5DC95C152FA2}"/>
    <cellStyle name="Comma 18 4 4" xfId="317" xr:uid="{2E54E9DC-51FE-416B-AC59-6F1A00A71BE8}"/>
    <cellStyle name="Comma 18 5" xfId="125" xr:uid="{4AB47F36-5409-4BBF-9C35-74CBC8DEE915}"/>
    <cellStyle name="Comma 18 5 2" xfId="263" xr:uid="{A170E6CC-8B87-4F66-AC23-3228F0FD276C}"/>
    <cellStyle name="Comma 18 5 2 2" xfId="810" xr:uid="{D641236F-F750-45DC-9F40-6E9D8B41E81B}"/>
    <cellStyle name="Comma 18 5 2 3" xfId="537" xr:uid="{CC6C72D9-E5F8-45C6-8CA0-821C27A882B1}"/>
    <cellStyle name="Comma 18 5 3" xfId="674" xr:uid="{29290C00-CA3A-45B5-AD13-71B2C2A42E38}"/>
    <cellStyle name="Comma 18 5 4" xfId="401" xr:uid="{CD603169-6FA3-4349-AC7E-4A9D41D2E67A}"/>
    <cellStyle name="Comma 18 6" xfId="153" xr:uid="{B3F6E285-E398-4238-9109-41DC8DCB5DF3}"/>
    <cellStyle name="Comma 18 6 2" xfId="700" xr:uid="{4B569118-4F3B-4F8C-867D-9560F0295835}"/>
    <cellStyle name="Comma 18 6 3" xfId="427" xr:uid="{ABFBA3F2-F174-48B3-A439-88E2219DEBAB}"/>
    <cellStyle name="Comma 18 7" xfId="564" xr:uid="{162B6E13-1C36-413A-9507-751DD971B54B}"/>
    <cellStyle name="Comma 18 8" xfId="291" xr:uid="{97C0D3BC-EE2D-42B6-BAE8-36DB668B8686}"/>
    <cellStyle name="Comma 19" xfId="13" xr:uid="{00000000-0005-0000-0000-000009000000}"/>
    <cellStyle name="Comma 19 2" xfId="98" xr:uid="{C0FAA340-681C-49B9-8B9D-F0A9C01AE0FE}"/>
    <cellStyle name="Comma 19 2 2" xfId="236" xr:uid="{6B735391-D3E0-422A-9D74-94B48BF37C25}"/>
    <cellStyle name="Comma 19 2 2 2" xfId="783" xr:uid="{049190C6-3E0E-4276-A22C-0B6D7C0DF5CE}"/>
    <cellStyle name="Comma 19 2 2 3" xfId="510" xr:uid="{492F0C67-5F28-4F30-93EE-4E56D971CCD4}"/>
    <cellStyle name="Comma 19 2 3" xfId="647" xr:uid="{5F1E768C-BD7B-4AB6-BDCA-E04861739B79}"/>
    <cellStyle name="Comma 19 2 4" xfId="374" xr:uid="{CD1F3D49-2F87-47B2-AD19-3B7D0C92B9F0}"/>
    <cellStyle name="Comma 19 3" xfId="70" xr:uid="{95F6EA1B-0E50-408E-919D-53D151B81708}"/>
    <cellStyle name="Comma 19 3 2" xfId="208" xr:uid="{F83D5B7A-021F-4C0F-BC74-054CDF1925B6}"/>
    <cellStyle name="Comma 19 3 2 2" xfId="755" xr:uid="{90191742-4F19-4FFC-B454-1D575C1C9A70}"/>
    <cellStyle name="Comma 19 3 2 3" xfId="482" xr:uid="{164F1D29-6642-4684-8B33-DB435B98C008}"/>
    <cellStyle name="Comma 19 3 3" xfId="619" xr:uid="{60D7E4A2-CD88-4EB0-BEA7-7B1FCB778914}"/>
    <cellStyle name="Comma 19 3 4" xfId="346" xr:uid="{28013DF7-6FA5-47CB-9631-BE3B028A68A1}"/>
    <cellStyle name="Comma 19 4" xfId="42" xr:uid="{49374190-291F-4ED0-AE10-5833E42EDEA2}"/>
    <cellStyle name="Comma 19 4 2" xfId="180" xr:uid="{B878AAA1-EA52-41BF-964E-777ED13086B4}"/>
    <cellStyle name="Comma 19 4 2 2" xfId="727" xr:uid="{C2BAB70C-578B-4D8F-B1CF-8851257DB89D}"/>
    <cellStyle name="Comma 19 4 2 3" xfId="454" xr:uid="{0D6B0880-08C4-4C4D-85BC-2EE4110EE699}"/>
    <cellStyle name="Comma 19 4 3" xfId="591" xr:uid="{0170E377-DB45-4528-82E9-D44EEDCC8BDB}"/>
    <cellStyle name="Comma 19 4 4" xfId="318" xr:uid="{A03F0FE1-0178-4E88-9079-0B75A6B9CC82}"/>
    <cellStyle name="Comma 19 5" xfId="126" xr:uid="{EC33CCC7-AC1D-456B-8055-3DEC58660CC1}"/>
    <cellStyle name="Comma 19 5 2" xfId="264" xr:uid="{5FEAB898-A6C0-4380-A30C-486528AD67DC}"/>
    <cellStyle name="Comma 19 5 2 2" xfId="811" xr:uid="{396DFBD0-4793-475A-92AF-8063EBD3011D}"/>
    <cellStyle name="Comma 19 5 2 3" xfId="538" xr:uid="{C1EDCCC1-ABAE-4DE9-9117-8C812327EC48}"/>
    <cellStyle name="Comma 19 5 3" xfId="675" xr:uid="{2176FF9E-ED51-480F-87F8-4A647AD11884}"/>
    <cellStyle name="Comma 19 5 4" xfId="402" xr:uid="{C3319D4A-B7F8-4ED8-8B06-47128AF42573}"/>
    <cellStyle name="Comma 19 6" xfId="154" xr:uid="{28F9E53E-5363-4936-A3DF-BE0C92CA3DE2}"/>
    <cellStyle name="Comma 19 6 2" xfId="701" xr:uid="{1BC3DABB-8F4E-4D5B-A45F-AD1E6296A307}"/>
    <cellStyle name="Comma 19 6 3" xfId="428" xr:uid="{D952C4AE-216A-432E-9C8C-2F873A917C8C}"/>
    <cellStyle name="Comma 19 7" xfId="565" xr:uid="{BE16C38C-2905-45B4-A206-51E7445E87A3}"/>
    <cellStyle name="Comma 19 8" xfId="292" xr:uid="{B554BB2B-173C-45C4-9AAA-73DAE9615E24}"/>
    <cellStyle name="Comma 2" xfId="3" xr:uid="{00000000-0005-0000-0000-00000A000000}"/>
    <cellStyle name="Comma 2 2" xfId="30" xr:uid="{00000000-0005-0000-0000-00000B000000}"/>
    <cellStyle name="Comma 2 2 2" xfId="114" xr:uid="{0ABF8433-C0C2-47C7-8764-1489EFED57B3}"/>
    <cellStyle name="Comma 2 2 2 2" xfId="252" xr:uid="{17FE130A-5288-436D-B666-F7056C77294A}"/>
    <cellStyle name="Comma 2 2 2 2 2" xfId="799" xr:uid="{0C9009A6-D92F-4108-BA0F-B9944D699E9C}"/>
    <cellStyle name="Comma 2 2 2 2 3" xfId="526" xr:uid="{BC612CB8-B12E-4C81-95C1-0B968D3378D9}"/>
    <cellStyle name="Comma 2 2 2 3" xfId="663" xr:uid="{471A58D5-DA93-4022-907C-891C3C8625E9}"/>
    <cellStyle name="Comma 2 2 2 4" xfId="390" xr:uid="{F690A51B-00A1-493D-A1D8-78EEA4F95706}"/>
    <cellStyle name="Comma 2 2 3" xfId="86" xr:uid="{9D714533-D75D-4457-A138-65D9826E7426}"/>
    <cellStyle name="Comma 2 2 3 2" xfId="224" xr:uid="{A3FD2508-4CBA-4B08-9232-BC2D5E110BE1}"/>
    <cellStyle name="Comma 2 2 3 2 2" xfId="771" xr:uid="{7AC6D909-53B3-479E-B1F1-655F9D422D2E}"/>
    <cellStyle name="Comma 2 2 3 2 3" xfId="498" xr:uid="{F57D37FE-8FDC-4B29-A9BF-B8FC9DC7D1CF}"/>
    <cellStyle name="Comma 2 2 3 3" xfId="635" xr:uid="{2DE766AB-E68F-46E7-89A8-21E14078EA2D}"/>
    <cellStyle name="Comma 2 2 3 4" xfId="362" xr:uid="{4415B248-66E1-4DF1-8FE4-C08B3003FC0B}"/>
    <cellStyle name="Comma 2 2 4" xfId="58" xr:uid="{D7DA52C2-E61A-4FA5-8250-8AAF96908BB0}"/>
    <cellStyle name="Comma 2 2 4 2" xfId="196" xr:uid="{3F983A7D-4EEE-4691-989A-A20FDC6943C2}"/>
    <cellStyle name="Comma 2 2 4 2 2" xfId="743" xr:uid="{9A65877D-E637-4265-87B0-87A4C53046FA}"/>
    <cellStyle name="Comma 2 2 4 2 3" xfId="470" xr:uid="{E649AD6B-E582-4BCE-9E8F-A8C6FD2AC9B0}"/>
    <cellStyle name="Comma 2 2 4 3" xfId="607" xr:uid="{8D3DC45E-1915-4A63-A844-69CEA98435D3}"/>
    <cellStyle name="Comma 2 2 4 4" xfId="334" xr:uid="{1CEC422A-F6E5-4134-92F5-9FC8CA0F8BA6}"/>
    <cellStyle name="Comma 2 3" xfId="88" xr:uid="{B6AA4568-96B4-4D94-8A5C-A7E2343EBBE1}"/>
    <cellStyle name="Comma 2 3 2" xfId="226" xr:uid="{8B1D112D-6855-4B3E-97B0-057DD61F8837}"/>
    <cellStyle name="Comma 2 3 2 2" xfId="773" xr:uid="{94366D1A-9F26-40D1-BC55-8ABCE8B02ED6}"/>
    <cellStyle name="Comma 2 3 2 3" xfId="500" xr:uid="{06EACA69-EC67-4EF1-B934-07A81F185707}"/>
    <cellStyle name="Comma 2 3 3" xfId="637" xr:uid="{07CE81DE-C54F-4BC7-9D7D-0165F351BA97}"/>
    <cellStyle name="Comma 2 3 4" xfId="364" xr:uid="{62494BCE-5E97-4AFE-A302-197458F82014}"/>
    <cellStyle name="Comma 2 4" xfId="60" xr:uid="{4E872A1A-4F9C-4428-9C41-28DB1985DB80}"/>
    <cellStyle name="Comma 2 4 2" xfId="198" xr:uid="{598D256C-206D-4653-82D5-31D0D4FD39FA}"/>
    <cellStyle name="Comma 2 4 2 2" xfId="745" xr:uid="{BADC40B7-7FCE-4A83-BDA2-B538321A8093}"/>
    <cellStyle name="Comma 2 4 2 3" xfId="472" xr:uid="{99D87531-6548-4D61-BFAF-39374386E257}"/>
    <cellStyle name="Comma 2 4 3" xfId="609" xr:uid="{548349F9-0E42-4438-9E05-032E112DFEB5}"/>
    <cellStyle name="Comma 2 4 4" xfId="336" xr:uid="{63F54F98-698C-474D-A5ED-038844DBEEF8}"/>
    <cellStyle name="Comma 2 5" xfId="32" xr:uid="{4EDFF158-0393-4A00-A33E-B0095191F78E}"/>
    <cellStyle name="Comma 2 5 2" xfId="170" xr:uid="{D5D301F4-0AD3-43A9-B29D-03ABDBD0999B}"/>
    <cellStyle name="Comma 2 5 2 2" xfId="717" xr:uid="{004F9985-AE84-4447-892E-C7C9EFEC0C6C}"/>
    <cellStyle name="Comma 2 5 2 3" xfId="444" xr:uid="{948FA999-821B-4E78-9E49-078F49C85668}"/>
    <cellStyle name="Comma 2 5 3" xfId="581" xr:uid="{D43359C8-B99D-4A8D-8FD0-4A54047D20FD}"/>
    <cellStyle name="Comma 2 5 4" xfId="308" xr:uid="{A6B80A96-94F3-40B8-8927-9483ADF63738}"/>
    <cellStyle name="Comma 2 6" xfId="116" xr:uid="{7C5413CB-8DF0-41F6-8F18-973A7CF7639B}"/>
    <cellStyle name="Comma 2 6 2" xfId="254" xr:uid="{06D97AF1-ED98-48E6-BB4D-6B5A5E8F21F1}"/>
    <cellStyle name="Comma 2 6 2 2" xfId="801" xr:uid="{50F5BAF7-F5D4-422C-B1D0-62F6628D38BB}"/>
    <cellStyle name="Comma 2 6 2 3" xfId="528" xr:uid="{1AD9B7A5-4539-4642-8788-ADAC4811734C}"/>
    <cellStyle name="Comma 2 6 3" xfId="665" xr:uid="{2E1A20F6-049F-4647-8A88-0D9118F9A661}"/>
    <cellStyle name="Comma 2 6 4" xfId="392" xr:uid="{675C8E95-6E56-428C-9ECC-E8ED20423327}"/>
    <cellStyle name="Comma 2 7" xfId="144" xr:uid="{5EE53AC3-7C88-4654-A777-E01165760E25}"/>
    <cellStyle name="Comma 2 7 2" xfId="691" xr:uid="{518267E5-EB97-4E1D-AC2B-CC7D5A5BF746}"/>
    <cellStyle name="Comma 2 7 3" xfId="418" xr:uid="{867DCE03-DAB9-4455-BDB7-6B1540373D79}"/>
    <cellStyle name="Comma 2 8" xfId="555" xr:uid="{1685EA4D-E3B8-4D6F-A016-4AC27DF785E9}"/>
    <cellStyle name="Comma 2 9" xfId="282" xr:uid="{AFF79EDF-CB19-4E11-882D-FD917785CD30}"/>
    <cellStyle name="Comma 20" xfId="14" xr:uid="{00000000-0005-0000-0000-00000C000000}"/>
    <cellStyle name="Comma 20 2" xfId="99" xr:uid="{DF2B366E-A6AA-487B-A15D-851E795DA1D4}"/>
    <cellStyle name="Comma 20 2 2" xfId="237" xr:uid="{3C8F1EE9-D3A9-4B89-A467-6F892ED6B5BE}"/>
    <cellStyle name="Comma 20 2 2 2" xfId="784" xr:uid="{BC325E94-2248-4EE2-80F8-54BC3F2E7941}"/>
    <cellStyle name="Comma 20 2 2 3" xfId="511" xr:uid="{22CC12C0-D8EE-463D-9D9A-9F730936E05A}"/>
    <cellStyle name="Comma 20 2 3" xfId="648" xr:uid="{B6C4A32D-7D70-436D-AFCA-07ECF2E307C2}"/>
    <cellStyle name="Comma 20 2 4" xfId="375" xr:uid="{256EABE9-382E-47D9-A9FA-929F1AAE2CC7}"/>
    <cellStyle name="Comma 20 3" xfId="71" xr:uid="{735A17D1-1595-4EDD-9BB4-C3BAA5346D5D}"/>
    <cellStyle name="Comma 20 3 2" xfId="209" xr:uid="{D7F902B9-FE78-4FB0-AC5C-800A51944CB5}"/>
    <cellStyle name="Comma 20 3 2 2" xfId="756" xr:uid="{F3266315-7C33-4E14-B416-015D2CA01A1E}"/>
    <cellStyle name="Comma 20 3 2 3" xfId="483" xr:uid="{4E2DECF6-BFB2-4CA6-99D3-0B3E4A96A2F1}"/>
    <cellStyle name="Comma 20 3 3" xfId="620" xr:uid="{0FFC7FF4-2DC1-47A7-B203-DB50CE1F8558}"/>
    <cellStyle name="Comma 20 3 4" xfId="347" xr:uid="{66A13156-EDE0-45FA-B91A-0FF612FD3BEE}"/>
    <cellStyle name="Comma 20 4" xfId="43" xr:uid="{D7D2ED04-9E70-4F30-8C69-66FC88FA037A}"/>
    <cellStyle name="Comma 20 4 2" xfId="181" xr:uid="{2F97FBDD-0F89-4E2F-A154-4B159A1A1599}"/>
    <cellStyle name="Comma 20 4 2 2" xfId="728" xr:uid="{645FEA8C-A9F1-4EF0-B73C-C69BAD29244A}"/>
    <cellStyle name="Comma 20 4 2 3" xfId="455" xr:uid="{558DFE21-C23F-42B3-82C1-B4DF7F96C5FF}"/>
    <cellStyle name="Comma 20 4 3" xfId="592" xr:uid="{5DA3B2D4-A475-4585-8D8D-745B2A585F89}"/>
    <cellStyle name="Comma 20 4 4" xfId="319" xr:uid="{739D3BEF-6435-4A47-80CE-44C296BF7C7F}"/>
    <cellStyle name="Comma 20 5" xfId="127" xr:uid="{95402DA3-3626-4CAC-8C21-A06491663190}"/>
    <cellStyle name="Comma 20 5 2" xfId="265" xr:uid="{EA61C23C-8DCC-4575-BC87-3F5FBF742889}"/>
    <cellStyle name="Comma 20 5 2 2" xfId="812" xr:uid="{1B79CCFE-FBA0-4298-840C-025D8AC56599}"/>
    <cellStyle name="Comma 20 5 2 3" xfId="539" xr:uid="{9F258306-F387-4AD2-9520-566EF9F53B4C}"/>
    <cellStyle name="Comma 20 5 3" xfId="676" xr:uid="{91FF1D0E-84CD-485D-9AEF-4B4F200A6C96}"/>
    <cellStyle name="Comma 20 5 4" xfId="403" xr:uid="{5D299325-20F0-4A48-B913-A9B8423DA40D}"/>
    <cellStyle name="Comma 20 6" xfId="155" xr:uid="{84AEB395-6645-484B-815B-134ACBEACD01}"/>
    <cellStyle name="Comma 20 6 2" xfId="702" xr:uid="{E8B0C5A3-69A7-4D22-811F-38A975F92CD8}"/>
    <cellStyle name="Comma 20 6 3" xfId="429" xr:uid="{C305CF1C-48E7-4597-BFED-5F5758510495}"/>
    <cellStyle name="Comma 20 7" xfId="566" xr:uid="{9591F9DC-3640-4EA3-B13E-5771D56A3AF0}"/>
    <cellStyle name="Comma 20 8" xfId="293" xr:uid="{A744BD30-AC12-4EDF-B42C-B1922C458441}"/>
    <cellStyle name="Comma 21" xfId="15" xr:uid="{00000000-0005-0000-0000-00000D000000}"/>
    <cellStyle name="Comma 21 2" xfId="100" xr:uid="{B24177DB-9066-40A2-8B5A-4267F9087E3C}"/>
    <cellStyle name="Comma 21 2 2" xfId="238" xr:uid="{ECF41A5A-9045-44D4-872B-272BC8B7C3F5}"/>
    <cellStyle name="Comma 21 2 2 2" xfId="785" xr:uid="{6F1E14B5-3E4F-46E5-B86C-1795647C9B19}"/>
    <cellStyle name="Comma 21 2 2 3" xfId="512" xr:uid="{EF287F69-9ED4-4BC4-82D4-2B26BE09949E}"/>
    <cellStyle name="Comma 21 2 3" xfId="649" xr:uid="{2680DFA2-6C19-4B13-B2D8-C25AFAA09B98}"/>
    <cellStyle name="Comma 21 2 4" xfId="376" xr:uid="{7B480252-16C2-4093-869C-66CFE2C73142}"/>
    <cellStyle name="Comma 21 3" xfId="72" xr:uid="{2FF25CB1-D518-4C8A-B6BB-4EEE56C56DB6}"/>
    <cellStyle name="Comma 21 3 2" xfId="210" xr:uid="{5EA80632-6159-4A08-950A-BFC588C4A457}"/>
    <cellStyle name="Comma 21 3 2 2" xfId="757" xr:uid="{C070AD63-9DD7-4DBD-A13B-9805D2CF5335}"/>
    <cellStyle name="Comma 21 3 2 3" xfId="484" xr:uid="{EE89F5C3-5FAD-4C9F-A073-4918C94CF842}"/>
    <cellStyle name="Comma 21 3 3" xfId="621" xr:uid="{2837E339-303D-4829-8A2F-27E7E1D4EC22}"/>
    <cellStyle name="Comma 21 3 4" xfId="348" xr:uid="{C5FA79F1-3BAE-4CC9-BB1A-3B01E92F1433}"/>
    <cellStyle name="Comma 21 4" xfId="44" xr:uid="{C2FF682C-10A1-43BD-B196-9EF28D7BAF7C}"/>
    <cellStyle name="Comma 21 4 2" xfId="182" xr:uid="{CEE0D0B1-AA5A-4EEE-AC8D-FD1E185E3D61}"/>
    <cellStyle name="Comma 21 4 2 2" xfId="729" xr:uid="{BEFF71CC-7C8B-4679-AE17-7E0EFC18D9DD}"/>
    <cellStyle name="Comma 21 4 2 3" xfId="456" xr:uid="{A64A65DA-BC9A-4235-9B50-FC6AE4A80838}"/>
    <cellStyle name="Comma 21 4 3" xfId="593" xr:uid="{FD19C13D-AF54-4D56-92D4-8A1BAA3E868A}"/>
    <cellStyle name="Comma 21 4 4" xfId="320" xr:uid="{45DEA21F-30F2-47A3-B4DB-0AAB35722E61}"/>
    <cellStyle name="Comma 21 5" xfId="128" xr:uid="{625CA248-AA12-4EB0-86CF-A04ECEF90EC6}"/>
    <cellStyle name="Comma 21 5 2" xfId="266" xr:uid="{60B1452C-3613-4826-9219-66916EA89A0C}"/>
    <cellStyle name="Comma 21 5 2 2" xfId="813" xr:uid="{B22E3EA0-9DDF-43FB-80D0-AF47C2FF755B}"/>
    <cellStyle name="Comma 21 5 2 3" xfId="540" xr:uid="{5C1A8048-5B31-4AC5-B433-B1095AE9A65D}"/>
    <cellStyle name="Comma 21 5 3" xfId="677" xr:uid="{7C46837C-E404-4B52-93E1-2D9E74802539}"/>
    <cellStyle name="Comma 21 5 4" xfId="404" xr:uid="{9AB3F920-7C88-474A-B28E-EA54F62B4DF6}"/>
    <cellStyle name="Comma 21 6" xfId="156" xr:uid="{32D5C4D3-6581-44D3-9F13-5D0B3E5AB981}"/>
    <cellStyle name="Comma 21 6 2" xfId="703" xr:uid="{EB9CD42B-AD08-4793-9907-63319CED70DE}"/>
    <cellStyle name="Comma 21 6 3" xfId="430" xr:uid="{548BD365-966E-454A-92F4-577FBBB94536}"/>
    <cellStyle name="Comma 21 7" xfId="567" xr:uid="{06288B7A-D419-4720-B5A4-11CE43EF8040}"/>
    <cellStyle name="Comma 21 8" xfId="294" xr:uid="{B6C70B85-3572-4E6B-8974-8E2AD757756C}"/>
    <cellStyle name="Comma 22" xfId="16" xr:uid="{00000000-0005-0000-0000-00000E000000}"/>
    <cellStyle name="Comma 22 2" xfId="101" xr:uid="{8561EFC9-4DC8-4D88-8465-57A774326CF7}"/>
    <cellStyle name="Comma 22 2 2" xfId="239" xr:uid="{3FDBF3AD-D2C4-4BDD-BF02-82423346B226}"/>
    <cellStyle name="Comma 22 2 2 2" xfId="786" xr:uid="{EA649A66-5B80-476C-AA69-23853DBB2C40}"/>
    <cellStyle name="Comma 22 2 2 3" xfId="513" xr:uid="{A04898C1-B84A-49E7-878E-4C49DB647ECB}"/>
    <cellStyle name="Comma 22 2 3" xfId="650" xr:uid="{2396A879-3B43-47B9-987A-D07F5F088F01}"/>
    <cellStyle name="Comma 22 2 4" xfId="377" xr:uid="{132C3371-9775-43D0-9AAC-DDC2500169F8}"/>
    <cellStyle name="Comma 22 3" xfId="73" xr:uid="{49FF04EC-166D-4299-8646-22BF8C436EC9}"/>
    <cellStyle name="Comma 22 3 2" xfId="211" xr:uid="{92C10CEB-9118-462E-8C60-B3894B03DC83}"/>
    <cellStyle name="Comma 22 3 2 2" xfId="758" xr:uid="{2250A557-12C9-4CF2-A786-5D5C8934F9AF}"/>
    <cellStyle name="Comma 22 3 2 3" xfId="485" xr:uid="{0312BA63-F7E6-4C17-80D6-2F99CD96EC45}"/>
    <cellStyle name="Comma 22 3 3" xfId="622" xr:uid="{F6413DDF-97D4-4694-82B9-15B8745EC91E}"/>
    <cellStyle name="Comma 22 3 4" xfId="349" xr:uid="{C7EF09EF-EE9C-4CF1-B3F9-B763EBD27C38}"/>
    <cellStyle name="Comma 22 4" xfId="45" xr:uid="{02F7789F-0B7E-47EE-9CFF-0776A43C3217}"/>
    <cellStyle name="Comma 22 4 2" xfId="183" xr:uid="{F389022F-59EC-414B-B097-B83957A4DE8A}"/>
    <cellStyle name="Comma 22 4 2 2" xfId="730" xr:uid="{A025626C-9C06-48A7-BAC7-A3BFEE324409}"/>
    <cellStyle name="Comma 22 4 2 3" xfId="457" xr:uid="{71AC28D5-E168-4EA4-8417-35FDFF670DD6}"/>
    <cellStyle name="Comma 22 4 3" xfId="594" xr:uid="{19E84CA6-2FFE-4668-B35E-D79A7499406D}"/>
    <cellStyle name="Comma 22 4 4" xfId="321" xr:uid="{29C33BE5-76EF-4E8B-AAE0-66217DAF8463}"/>
    <cellStyle name="Comma 22 5" xfId="129" xr:uid="{95297B10-762C-4630-A3D7-7D2B96E28EAE}"/>
    <cellStyle name="Comma 22 5 2" xfId="267" xr:uid="{F2BEACE3-3F9C-4ECC-8210-50FCDE591F8C}"/>
    <cellStyle name="Comma 22 5 2 2" xfId="814" xr:uid="{E2BCBDBA-6ECA-4844-8474-5264A4E21383}"/>
    <cellStyle name="Comma 22 5 2 3" xfId="541" xr:uid="{9558203C-0CAC-47AB-AE7E-E237C6F782AB}"/>
    <cellStyle name="Comma 22 5 3" xfId="678" xr:uid="{E325D3DF-F5CE-40B9-AF21-1790CFCA6510}"/>
    <cellStyle name="Comma 22 5 4" xfId="405" xr:uid="{30C9497E-23ED-48F0-9C16-A483D661FB41}"/>
    <cellStyle name="Comma 22 6" xfId="157" xr:uid="{ED2D61B9-AD31-4CD5-98F9-91C3863140DF}"/>
    <cellStyle name="Comma 22 6 2" xfId="704" xr:uid="{5D5B860B-0017-4D1F-8F7B-F07566455AB9}"/>
    <cellStyle name="Comma 22 6 3" xfId="431" xr:uid="{FC6C8C54-795A-4CD5-9CB2-8B0AC7D9AC51}"/>
    <cellStyle name="Comma 22 7" xfId="568" xr:uid="{450034DB-A5F1-466D-B3A7-7D07250A3CD7}"/>
    <cellStyle name="Comma 22 8" xfId="295" xr:uid="{CBA0C978-768B-46EC-A060-A819FA57A3ED}"/>
    <cellStyle name="Comma 23" xfId="17" xr:uid="{00000000-0005-0000-0000-00000F000000}"/>
    <cellStyle name="Comma 23 2" xfId="102" xr:uid="{859FDDDC-6C43-4908-867C-80527E14E288}"/>
    <cellStyle name="Comma 23 2 2" xfId="240" xr:uid="{3E3A168E-F3D5-4AD0-9662-4C0A78BBCEA2}"/>
    <cellStyle name="Comma 23 2 2 2" xfId="787" xr:uid="{88D1BD40-318D-40BE-994E-B4B1E936FBF6}"/>
    <cellStyle name="Comma 23 2 2 3" xfId="514" xr:uid="{B51E4260-2CF1-499C-A8D0-8E96BAE3E829}"/>
    <cellStyle name="Comma 23 2 3" xfId="651" xr:uid="{4D155703-D70C-4F9B-9306-4778A5841417}"/>
    <cellStyle name="Comma 23 2 4" xfId="378" xr:uid="{0E00391B-51DB-41CF-8356-7B195D7A0582}"/>
    <cellStyle name="Comma 23 3" xfId="74" xr:uid="{2DDD131D-4724-4BA2-94DB-70D2A4238087}"/>
    <cellStyle name="Comma 23 3 2" xfId="212" xr:uid="{513D7CFB-38C5-452C-B0B1-95C2B15AC41E}"/>
    <cellStyle name="Comma 23 3 2 2" xfId="759" xr:uid="{43D09CC4-90F5-4700-BFFA-76AC21F102F6}"/>
    <cellStyle name="Comma 23 3 2 3" xfId="486" xr:uid="{67845D53-A723-4EAF-A533-217088D8BFE5}"/>
    <cellStyle name="Comma 23 3 3" xfId="623" xr:uid="{4708BB20-9BF3-4A51-B988-19ED148B17CD}"/>
    <cellStyle name="Comma 23 3 4" xfId="350" xr:uid="{0548B374-D60F-4291-84B7-6D9F18347400}"/>
    <cellStyle name="Comma 23 4" xfId="46" xr:uid="{E9712E0C-BAC4-4FAC-A5BE-397577AD529B}"/>
    <cellStyle name="Comma 23 4 2" xfId="184" xr:uid="{E0D88AE7-A459-4335-A1D2-F14C8D5328C8}"/>
    <cellStyle name="Comma 23 4 2 2" xfId="731" xr:uid="{A1D4FAD8-845D-4B43-8DFF-C84AEFBE9BF4}"/>
    <cellStyle name="Comma 23 4 2 3" xfId="458" xr:uid="{D250590F-83E1-4A8E-9305-EEB0E3764D92}"/>
    <cellStyle name="Comma 23 4 3" xfId="595" xr:uid="{0A095601-9B81-4BE6-A152-EB458E3486CE}"/>
    <cellStyle name="Comma 23 4 4" xfId="322" xr:uid="{06EB0263-C23A-4B9A-A5EC-59C0BA989334}"/>
    <cellStyle name="Comma 24" xfId="18" xr:uid="{00000000-0005-0000-0000-000010000000}"/>
    <cellStyle name="Comma 24 2" xfId="103" xr:uid="{C7D5A578-2D62-4090-B0CB-B60478BE1D18}"/>
    <cellStyle name="Comma 24 2 2" xfId="241" xr:uid="{B2BF2F81-FBFF-4343-A2EC-E55D3C89A8A0}"/>
    <cellStyle name="Comma 24 2 2 2" xfId="788" xr:uid="{1BE2AC3D-E96F-414D-9D0B-82A96B9D9413}"/>
    <cellStyle name="Comma 24 2 2 3" xfId="515" xr:uid="{CEF91CF1-C8F8-49F0-97A3-AA2A5C2876A1}"/>
    <cellStyle name="Comma 24 2 3" xfId="652" xr:uid="{92A1C1E3-2DF0-4EEA-8C08-29DBBFB08263}"/>
    <cellStyle name="Comma 24 2 4" xfId="379" xr:uid="{3C438227-E792-4397-8259-FB49F2662CFA}"/>
    <cellStyle name="Comma 24 3" xfId="75" xr:uid="{DBCD1580-D403-4309-AF80-DACE0EC0F475}"/>
    <cellStyle name="Comma 24 3 2" xfId="213" xr:uid="{E3DF43AE-8923-4575-B24F-F837F42BAC8C}"/>
    <cellStyle name="Comma 24 3 2 2" xfId="760" xr:uid="{1A1945C7-5861-4E23-BD1D-D78D3746957C}"/>
    <cellStyle name="Comma 24 3 2 3" xfId="487" xr:uid="{C763B13E-6712-4C6D-AF65-E5FF0D5F1E96}"/>
    <cellStyle name="Comma 24 3 3" xfId="624" xr:uid="{B52D673C-858D-4513-8D78-D8A32E04B79F}"/>
    <cellStyle name="Comma 24 3 4" xfId="351" xr:uid="{203DAEC3-69A9-4F44-B767-E045EE3879BE}"/>
    <cellStyle name="Comma 24 4" xfId="47" xr:uid="{0178951D-EC22-4546-8483-28961ADAF1CE}"/>
    <cellStyle name="Comma 24 4 2" xfId="185" xr:uid="{2A33DF17-3045-4923-8190-03B79B036128}"/>
    <cellStyle name="Comma 24 4 2 2" xfId="732" xr:uid="{F2171CF2-77E2-49AF-8FE0-38847AC5EADA}"/>
    <cellStyle name="Comma 24 4 2 3" xfId="459" xr:uid="{B2348626-351A-435A-90D1-AA97B9B477A2}"/>
    <cellStyle name="Comma 24 4 3" xfId="596" xr:uid="{094A5AC0-C26A-4913-A4EC-BE1EE5592E86}"/>
    <cellStyle name="Comma 24 4 4" xfId="323" xr:uid="{40A2D551-7A0C-47C7-8420-6363E298F7D4}"/>
    <cellStyle name="Comma 24 5" xfId="130" xr:uid="{7CC3C4D1-ABCE-4E9E-A90A-6EF852CA8D85}"/>
    <cellStyle name="Comma 24 5 2" xfId="268" xr:uid="{BEC9F13A-9979-4338-9F2E-F515B608ABE9}"/>
    <cellStyle name="Comma 24 5 2 2" xfId="815" xr:uid="{60E2AE14-973A-424A-9317-16DAB0114B9C}"/>
    <cellStyle name="Comma 24 5 2 3" xfId="542" xr:uid="{B1FA184F-09BE-489E-A58D-2CF6C870BE84}"/>
    <cellStyle name="Comma 24 5 3" xfId="679" xr:uid="{3F41E9F4-7CDF-47AE-80B1-90A4D0961529}"/>
    <cellStyle name="Comma 24 5 4" xfId="406" xr:uid="{B329092B-D58D-490E-8462-A1242B449B2C}"/>
    <cellStyle name="Comma 24 6" xfId="158" xr:uid="{5A367BD8-8C1E-4103-8A66-047E28F72A45}"/>
    <cellStyle name="Comma 24 6 2" xfId="705" xr:uid="{D4A9D2BB-A203-49E4-91A4-5F0803B1F5DC}"/>
    <cellStyle name="Comma 24 6 3" xfId="432" xr:uid="{DDF43C3F-9F92-42D9-ABC2-A69BBDA0BECF}"/>
    <cellStyle name="Comma 24 7" xfId="569" xr:uid="{9A8B042E-71DC-4CBA-9965-DA4A64A6E4AA}"/>
    <cellStyle name="Comma 24 8" xfId="296" xr:uid="{EF0D16AC-F14A-474A-91F0-0047FF4DA3C3}"/>
    <cellStyle name="Comma 25" xfId="19" xr:uid="{00000000-0005-0000-0000-000011000000}"/>
    <cellStyle name="Comma 25 2" xfId="104" xr:uid="{551553EA-0AAF-4573-952D-723A2DFE71A8}"/>
    <cellStyle name="Comma 25 2 2" xfId="242" xr:uid="{4AF26596-4A1B-42E4-BCB7-C0E985505D06}"/>
    <cellStyle name="Comma 25 2 2 2" xfId="789" xr:uid="{F1AFF55F-C94E-4D12-BFE5-5AF31A01F055}"/>
    <cellStyle name="Comma 25 2 2 3" xfId="516" xr:uid="{7447A4EA-18C9-4ECF-95A0-0C5C75A48CDF}"/>
    <cellStyle name="Comma 25 2 3" xfId="653" xr:uid="{687632FB-621D-4C7A-BE0A-2D280A8C0872}"/>
    <cellStyle name="Comma 25 2 4" xfId="380" xr:uid="{2CEC24EC-C9CD-463E-A632-E5DCC39C53AF}"/>
    <cellStyle name="Comma 25 3" xfId="76" xr:uid="{DDC2229A-B7BC-4E06-90F4-A53A3EBD0B9F}"/>
    <cellStyle name="Comma 25 3 2" xfId="214" xr:uid="{77223BCF-59C8-4E50-BA4F-E92739335DA5}"/>
    <cellStyle name="Comma 25 3 2 2" xfId="761" xr:uid="{667E36FD-B48B-4787-9F6C-39C71BB43DF0}"/>
    <cellStyle name="Comma 25 3 2 3" xfId="488" xr:uid="{D55D4FE9-2049-49F1-AB3F-9621C624AE3B}"/>
    <cellStyle name="Comma 25 3 3" xfId="625" xr:uid="{08C15BE1-ED2C-48B9-A97A-973D25617589}"/>
    <cellStyle name="Comma 25 3 4" xfId="352" xr:uid="{60C5407C-8B5F-4FB7-83E7-8F92A4718DC4}"/>
    <cellStyle name="Comma 25 4" xfId="48" xr:uid="{4638F141-17F7-4811-9AD7-C57B491EAD19}"/>
    <cellStyle name="Comma 25 4 2" xfId="186" xr:uid="{302787F7-5F9E-41A9-93D0-F404FE7E27A4}"/>
    <cellStyle name="Comma 25 4 2 2" xfId="733" xr:uid="{8DB2C475-C7E7-438E-B5F0-1A8E9D3AD429}"/>
    <cellStyle name="Comma 25 4 2 3" xfId="460" xr:uid="{32718B13-9CB9-450E-A836-DF9FD493FD16}"/>
    <cellStyle name="Comma 25 4 3" xfId="597" xr:uid="{1F24694E-5A11-4BD6-B61E-08C4989D53C2}"/>
    <cellStyle name="Comma 25 4 4" xfId="324" xr:uid="{746B35BB-452D-4F08-A6F6-01CF8BA38215}"/>
    <cellStyle name="Comma 25 5" xfId="131" xr:uid="{EF0959A6-4FD3-4399-94E1-72D119905579}"/>
    <cellStyle name="Comma 25 5 2" xfId="269" xr:uid="{EBEE00E5-284A-43E2-9CD9-DDEF3B6A6520}"/>
    <cellStyle name="Comma 25 5 2 2" xfId="816" xr:uid="{7B8F7E55-50C2-44C2-8E53-D8DD854D5231}"/>
    <cellStyle name="Comma 25 5 2 3" xfId="543" xr:uid="{91037B16-50EA-4289-BC44-E7A9B5B8FA05}"/>
    <cellStyle name="Comma 25 5 3" xfId="680" xr:uid="{6A131289-377A-4E9B-9300-1BAA51EF523D}"/>
    <cellStyle name="Comma 25 5 4" xfId="407" xr:uid="{23F2CCF2-D026-4BC9-92A7-5B2669FA0625}"/>
    <cellStyle name="Comma 25 6" xfId="159" xr:uid="{7CD9CB4C-CFB9-4E9E-930F-08F15F22A388}"/>
    <cellStyle name="Comma 25 6 2" xfId="706" xr:uid="{1ED6E90C-638B-4271-9123-A52E56B87E2C}"/>
    <cellStyle name="Comma 25 6 3" xfId="433" xr:uid="{BA1FB582-661C-4744-9BC0-23A09B08185C}"/>
    <cellStyle name="Comma 25 7" xfId="570" xr:uid="{BD893920-D378-400C-837C-61DE4DFD8D49}"/>
    <cellStyle name="Comma 25 8" xfId="297" xr:uid="{AD5A7940-52C8-4191-81D1-2D2F88DF2C5E}"/>
    <cellStyle name="Comma 26" xfId="20" xr:uid="{00000000-0005-0000-0000-000012000000}"/>
    <cellStyle name="Comma 26 2" xfId="105" xr:uid="{055B1262-B75E-4A62-AF01-DE6281A35BA6}"/>
    <cellStyle name="Comma 26 2 2" xfId="243" xr:uid="{3FED3D3A-3F73-41FE-BEA6-C2896C7D1E0F}"/>
    <cellStyle name="Comma 26 2 2 2" xfId="790" xr:uid="{ADAD7F28-3D23-49F5-8D5A-9126718D001A}"/>
    <cellStyle name="Comma 26 2 2 3" xfId="517" xr:uid="{A1FC8246-706C-4695-9956-A22EDB750B36}"/>
    <cellStyle name="Comma 26 2 3" xfId="654" xr:uid="{EE0B44A7-3A9C-4931-8168-85D3D197B26D}"/>
    <cellStyle name="Comma 26 2 4" xfId="381" xr:uid="{A6C82382-91E8-4DBC-BBFA-6D05CCC6379E}"/>
    <cellStyle name="Comma 26 3" xfId="77" xr:uid="{A655137D-F2C3-43AB-A1E0-3C68356CDAE3}"/>
    <cellStyle name="Comma 26 3 2" xfId="215" xr:uid="{6777E50B-5E7C-4287-9584-103D3D1E7B0A}"/>
    <cellStyle name="Comma 26 3 2 2" xfId="762" xr:uid="{A27EFEC3-1159-4651-B9C3-9C8F667712B5}"/>
    <cellStyle name="Comma 26 3 2 3" xfId="489" xr:uid="{322C60F4-9DAF-4730-9057-15784FFC0DFC}"/>
    <cellStyle name="Comma 26 3 3" xfId="626" xr:uid="{C0F1CFC7-1B3B-4FCE-B6EC-C52CD67C2DF4}"/>
    <cellStyle name="Comma 26 3 4" xfId="353" xr:uid="{8840C043-00E0-4E51-8895-2EC3CD036603}"/>
    <cellStyle name="Comma 26 4" xfId="49" xr:uid="{63AF6956-6E91-4E35-A626-CEB5AEE904D9}"/>
    <cellStyle name="Comma 26 4 2" xfId="187" xr:uid="{F3F3A06C-9A7B-41DC-A8D4-3BACA0ED0C3F}"/>
    <cellStyle name="Comma 26 4 2 2" xfId="734" xr:uid="{88FCA63D-CC54-4701-A52E-1A38AD8B4BA3}"/>
    <cellStyle name="Comma 26 4 2 3" xfId="461" xr:uid="{C10EABBB-BFA7-42D2-BFA7-CBCFFDDB2D52}"/>
    <cellStyle name="Comma 26 4 3" xfId="598" xr:uid="{565A382A-B956-4B48-9B26-9DD731687F21}"/>
    <cellStyle name="Comma 26 4 4" xfId="325" xr:uid="{523DED39-6EAD-4BFC-9FF9-74140335AA2E}"/>
    <cellStyle name="Comma 26 5" xfId="132" xr:uid="{446BE315-9066-42D2-A267-9C65F430A1E5}"/>
    <cellStyle name="Comma 26 5 2" xfId="270" xr:uid="{725B588F-6F2E-4518-ADAE-A1204B0D7681}"/>
    <cellStyle name="Comma 26 5 2 2" xfId="817" xr:uid="{D4AC1344-FAD9-4D85-BECE-68713682087F}"/>
    <cellStyle name="Comma 26 5 2 3" xfId="544" xr:uid="{B24CE4A7-FBE6-4D49-B759-A7505C4F1796}"/>
    <cellStyle name="Comma 26 5 3" xfId="681" xr:uid="{788F03C3-8E6F-4CF5-AD55-824568154720}"/>
    <cellStyle name="Comma 26 5 4" xfId="408" xr:uid="{1360E792-E410-4A80-889F-8AE5D42D9BA3}"/>
    <cellStyle name="Comma 26 6" xfId="160" xr:uid="{4281EE35-B5BE-4775-9C3B-BCB695A604F2}"/>
    <cellStyle name="Comma 26 6 2" xfId="707" xr:uid="{A8672C58-3367-4882-88CC-D8A3CB5F6C84}"/>
    <cellStyle name="Comma 26 6 3" xfId="434" xr:uid="{D81FBAB1-3E2E-48B9-B864-13FF1C564262}"/>
    <cellStyle name="Comma 26 7" xfId="571" xr:uid="{1477B5E7-D4CC-4CC9-A646-F55D816175A6}"/>
    <cellStyle name="Comma 26 8" xfId="298" xr:uid="{8D348D4C-ECCB-4AA5-8811-D624293BA740}"/>
    <cellStyle name="Comma 27" xfId="21" xr:uid="{00000000-0005-0000-0000-000013000000}"/>
    <cellStyle name="Comma 27 2" xfId="106" xr:uid="{B9A5DA36-FD78-42EE-BC87-7C20E0A81020}"/>
    <cellStyle name="Comma 27 2 2" xfId="244" xr:uid="{05649CC6-E0BF-4846-ADC7-7E42A086629E}"/>
    <cellStyle name="Comma 27 2 2 2" xfId="791" xr:uid="{3715FE23-C24E-4565-B6D6-AAACADE65C4A}"/>
    <cellStyle name="Comma 27 2 2 3" xfId="518" xr:uid="{3CF8D963-EC40-4BDE-8942-57A9A08C5713}"/>
    <cellStyle name="Comma 27 2 3" xfId="655" xr:uid="{A983181D-AE77-4C14-B5FB-903F8EA5A597}"/>
    <cellStyle name="Comma 27 2 4" xfId="382" xr:uid="{343206A0-219F-4C6B-B9BB-6B7B38BD33E6}"/>
    <cellStyle name="Comma 27 3" xfId="78" xr:uid="{9868C4A9-D631-4F8D-892F-A190D4E81313}"/>
    <cellStyle name="Comma 27 3 2" xfId="216" xr:uid="{4C96D76E-9943-42E6-9E10-341D7985186D}"/>
    <cellStyle name="Comma 27 3 2 2" xfId="763" xr:uid="{601B871C-D03F-415E-8B91-DDB3407C8218}"/>
    <cellStyle name="Comma 27 3 2 3" xfId="490" xr:uid="{91A16ED1-B39E-4ED4-9E46-DFDA4BC54E59}"/>
    <cellStyle name="Comma 27 3 3" xfId="627" xr:uid="{68A9DA64-3DCD-42FF-99C0-4CDC10A54913}"/>
    <cellStyle name="Comma 27 3 4" xfId="354" xr:uid="{D057DF29-0576-4622-ACED-1044DD817E7A}"/>
    <cellStyle name="Comma 27 4" xfId="50" xr:uid="{AF670204-104B-458F-ACD0-3FEBA12A4454}"/>
    <cellStyle name="Comma 27 4 2" xfId="188" xr:uid="{326D946D-2E15-44C2-9CAA-15285AEBD09D}"/>
    <cellStyle name="Comma 27 4 2 2" xfId="735" xr:uid="{A1381543-7B4D-4D84-AF37-47A33EED6813}"/>
    <cellStyle name="Comma 27 4 2 3" xfId="462" xr:uid="{49AB121B-860A-4184-AEDA-9EE138F5FED5}"/>
    <cellStyle name="Comma 27 4 3" xfId="599" xr:uid="{8CF6FFF6-D102-4118-B060-84C5B97717EF}"/>
    <cellStyle name="Comma 27 4 4" xfId="326" xr:uid="{66CE5185-75CD-46C9-938E-587FCB81C428}"/>
    <cellStyle name="Comma 27 5" xfId="133" xr:uid="{A59BD7EB-5F24-4317-86A5-A4B0A7692408}"/>
    <cellStyle name="Comma 27 5 2" xfId="271" xr:uid="{8C3BEA18-3FE0-498B-8DED-F779821D2677}"/>
    <cellStyle name="Comma 27 5 2 2" xfId="818" xr:uid="{E54F24E9-025B-4A2F-B16D-3D922C452E9E}"/>
    <cellStyle name="Comma 27 5 2 3" xfId="545" xr:uid="{6C310A2C-A409-4989-AFD8-9B45DD8AD77E}"/>
    <cellStyle name="Comma 27 5 3" xfId="682" xr:uid="{2BD03D7A-9695-4EE0-878B-702BDD4E3A0C}"/>
    <cellStyle name="Comma 27 5 4" xfId="409" xr:uid="{B095B549-F0A1-4B34-9CC7-61998189E936}"/>
    <cellStyle name="Comma 27 6" xfId="161" xr:uid="{4108FCCA-AF80-40D2-9FB6-D57D291016AC}"/>
    <cellStyle name="Comma 27 6 2" xfId="708" xr:uid="{E8286C7A-B4BB-4D23-B8BA-77C6E4BB1A38}"/>
    <cellStyle name="Comma 27 6 3" xfId="435" xr:uid="{1D355390-2092-4E68-800B-881C3292CECD}"/>
    <cellStyle name="Comma 27 7" xfId="572" xr:uid="{0FB3329A-151B-482A-AA9A-E7CA6B2277A6}"/>
    <cellStyle name="Comma 27 8" xfId="299" xr:uid="{F6255620-1B13-459F-A6B5-DE6D1F1E27C9}"/>
    <cellStyle name="Comma 28" xfId="28" xr:uid="{00000000-0005-0000-0000-000014000000}"/>
    <cellStyle name="Comma 28 2" xfId="113" xr:uid="{504AABB9-E896-4259-A797-3EAD0FB47476}"/>
    <cellStyle name="Comma 28 2 2" xfId="251" xr:uid="{6F6A5BEB-5A96-4791-93FF-66F6B58A7C24}"/>
    <cellStyle name="Comma 28 2 2 2" xfId="798" xr:uid="{F63C632B-FB6A-43A7-93A2-CE1020995FCD}"/>
    <cellStyle name="Comma 28 2 2 3" xfId="525" xr:uid="{122FA617-06C8-4AB9-8384-BCFE0EF70EDA}"/>
    <cellStyle name="Comma 28 2 3" xfId="662" xr:uid="{DCAE2745-4620-439D-B8C3-DF700F590BF1}"/>
    <cellStyle name="Comma 28 2 4" xfId="389" xr:uid="{941439F7-2ECF-49BC-890E-963F0377B927}"/>
    <cellStyle name="Comma 28 3" xfId="85" xr:uid="{49A8C966-8893-417B-89EF-EF47B3B2CF76}"/>
    <cellStyle name="Comma 28 3 2" xfId="223" xr:uid="{70707878-65F5-4B77-A308-B2D4FC2EC176}"/>
    <cellStyle name="Comma 28 3 2 2" xfId="770" xr:uid="{338F892E-FAA1-429B-B8AA-45319EFBC8D7}"/>
    <cellStyle name="Comma 28 3 2 3" xfId="497" xr:uid="{8092F20E-8FE8-406A-ADB5-22AE875B4A50}"/>
    <cellStyle name="Comma 28 3 3" xfId="634" xr:uid="{4EAFD6AC-954B-4A15-B143-93B909414ED1}"/>
    <cellStyle name="Comma 28 3 4" xfId="361" xr:uid="{C4AA3004-F824-4810-BB38-AAFEDC57F06C}"/>
    <cellStyle name="Comma 28 4" xfId="57" xr:uid="{4F80EFF7-3C7A-4ACE-9A63-91FC9054A7CA}"/>
    <cellStyle name="Comma 28 4 2" xfId="195" xr:uid="{AE2DD493-B3CB-44FD-B3F4-1B8B30C49B80}"/>
    <cellStyle name="Comma 28 4 2 2" xfId="742" xr:uid="{B12B8FD9-7D14-447D-9AD9-FF9165EC8D1D}"/>
    <cellStyle name="Comma 28 4 2 3" xfId="469" xr:uid="{F5999184-56A1-4BC3-9692-B9AC440D1FF9}"/>
    <cellStyle name="Comma 28 4 3" xfId="606" xr:uid="{5885A7EF-67ED-409C-AFBB-C6BD509CCC1B}"/>
    <cellStyle name="Comma 28 4 4" xfId="333" xr:uid="{279138D7-0605-437A-93DC-EAC6EC9CC347}"/>
    <cellStyle name="Comma 28 5" xfId="140" xr:uid="{299425B4-8866-4A5F-804B-FCDA7AC0F02A}"/>
    <cellStyle name="Comma 28 5 2" xfId="278" xr:uid="{DB41581B-6BFF-4C77-BFFB-8092A2380A28}"/>
    <cellStyle name="Comma 28 5 2 2" xfId="825" xr:uid="{40FCC923-8096-4019-894D-F6B04E672BFC}"/>
    <cellStyle name="Comma 28 5 2 3" xfId="552" xr:uid="{1F0C3C9F-B0AB-4D14-9E3F-A16D39D30250}"/>
    <cellStyle name="Comma 28 5 3" xfId="689" xr:uid="{4ED30FE8-46A7-4104-8D4E-3F0EDC8D8F1B}"/>
    <cellStyle name="Comma 28 5 4" xfId="416" xr:uid="{84E4123B-9CC4-47AF-846F-07DC12E667DC}"/>
    <cellStyle name="Comma 28 6" xfId="168" xr:uid="{F214AA40-CBC4-41DA-90E7-3DA4E3D1E432}"/>
    <cellStyle name="Comma 28 6 2" xfId="715" xr:uid="{343219E8-CE7E-46A8-9AD4-B208727E8983}"/>
    <cellStyle name="Comma 28 6 3" xfId="442" xr:uid="{D5449C96-49A9-4AD0-A283-D73DE22011E5}"/>
    <cellStyle name="Comma 28 7" xfId="579" xr:uid="{E708A405-0F30-4E21-9571-A41A22CE4E5A}"/>
    <cellStyle name="Comma 28 8" xfId="306" xr:uid="{B83B633B-3091-4176-ACEC-2623DE634BB0}"/>
    <cellStyle name="Comma 29" xfId="553" xr:uid="{14E586C2-CCF7-4ED6-9F7B-75A1A03B9237}"/>
    <cellStyle name="Comma 3" xfId="2" xr:uid="{00000000-0005-0000-0000-000015000000}"/>
    <cellStyle name="Comma 3 2" xfId="87" xr:uid="{4D414598-7061-42FF-A551-BFC99D67A2F9}"/>
    <cellStyle name="Comma 3 2 2" xfId="225" xr:uid="{FB6A99C2-15CA-45CC-8463-7B5591C6B976}"/>
    <cellStyle name="Comma 3 2 2 2" xfId="772" xr:uid="{27C31D74-1600-4BB7-8626-979341E00D13}"/>
    <cellStyle name="Comma 3 2 2 3" xfId="499" xr:uid="{9BF8572C-9609-476A-A7F0-9CE675FCE1E5}"/>
    <cellStyle name="Comma 3 2 3" xfId="636" xr:uid="{809EA976-A589-4A34-AD8B-2D26888E9828}"/>
    <cellStyle name="Comma 3 2 4" xfId="363" xr:uid="{B5AF6E27-01E1-4B72-A6C2-655DE63AC181}"/>
    <cellStyle name="Comma 3 3" xfId="59" xr:uid="{2BA06676-1204-47F3-B1B8-614A8E1BFCE0}"/>
    <cellStyle name="Comma 3 3 2" xfId="197" xr:uid="{95E00B7F-318E-42DA-8708-F6D1A4332C70}"/>
    <cellStyle name="Comma 3 3 2 2" xfId="744" xr:uid="{49EDD069-81D4-45C3-BB85-A1F30386E1E9}"/>
    <cellStyle name="Comma 3 3 2 3" xfId="471" xr:uid="{5CFB677E-B72A-4BE5-80D7-0E917FD7E020}"/>
    <cellStyle name="Comma 3 3 3" xfId="608" xr:uid="{FC324200-6AB9-4417-9AA2-CC25FA8D7FB7}"/>
    <cellStyle name="Comma 3 3 4" xfId="335" xr:uid="{C9B80CCF-83AB-42E2-B2E4-A81891D372B6}"/>
    <cellStyle name="Comma 3 4" xfId="31" xr:uid="{CC2C40F9-1AC9-405F-AB36-BBC682DAAEB6}"/>
    <cellStyle name="Comma 3 4 2" xfId="169" xr:uid="{41A1372B-C4CA-44BF-8C19-6FE0FA792284}"/>
    <cellStyle name="Comma 3 4 2 2" xfId="716" xr:uid="{69CE10AA-5C97-4E53-BE79-58CF7B0E7325}"/>
    <cellStyle name="Comma 3 4 2 3" xfId="443" xr:uid="{AE75D37A-FC0A-4D78-B9EF-05CC6E2D0EAD}"/>
    <cellStyle name="Comma 3 4 3" xfId="580" xr:uid="{7D9F9F39-93C4-46AF-B3B1-65E96CC2F937}"/>
    <cellStyle name="Comma 3 4 4" xfId="307" xr:uid="{A894CF22-D3E1-47EF-944C-EF723F69F833}"/>
    <cellStyle name="Comma 3 5" xfId="115" xr:uid="{512DB41E-D12A-495F-BB4D-9AA7594407DC}"/>
    <cellStyle name="Comma 3 5 2" xfId="253" xr:uid="{D50D0EC0-8EA7-439E-A7D5-9FAC690D71E1}"/>
    <cellStyle name="Comma 3 5 2 2" xfId="800" xr:uid="{EED2E9CA-071F-4D05-A8EB-27E07734003D}"/>
    <cellStyle name="Comma 3 5 2 3" xfId="527" xr:uid="{6B9E35FC-59FD-4B2A-96C3-74DB4BF90525}"/>
    <cellStyle name="Comma 3 5 3" xfId="664" xr:uid="{008FF9DD-D90C-400B-8253-E9C2A8D1F639}"/>
    <cellStyle name="Comma 3 5 4" xfId="391" xr:uid="{681B266D-F5FB-4289-A0E4-8EA15CB9654F}"/>
    <cellStyle name="Comma 3 6" xfId="143" xr:uid="{8CF3A1A8-1759-4AB5-944D-518E3285D533}"/>
    <cellStyle name="Comma 3 6 2" xfId="690" xr:uid="{6776DDC2-D0E1-43D7-9F45-918231FF0822}"/>
    <cellStyle name="Comma 3 6 3" xfId="417" xr:uid="{806A258F-741E-41FA-96FD-B516F9E3468B}"/>
    <cellStyle name="Comma 3 7" xfId="554" xr:uid="{1632DDD5-7F6E-4AA5-9CBF-FE855FE0F832}"/>
    <cellStyle name="Comma 3 8" xfId="281" xr:uid="{D56C0C73-A78B-4013-915E-4D9A5BE74359}"/>
    <cellStyle name="Comma 4" xfId="22" xr:uid="{00000000-0005-0000-0000-000016000000}"/>
    <cellStyle name="Comma 4 2" xfId="107" xr:uid="{7CEF6CD8-16B8-47B3-BDF4-180F652450B2}"/>
    <cellStyle name="Comma 4 2 2" xfId="245" xr:uid="{7B95B527-C3CA-42B8-A597-6136F2969C57}"/>
    <cellStyle name="Comma 4 2 2 2" xfId="792" xr:uid="{0DC38981-EC61-42E2-A4E4-F1E169AB9EF2}"/>
    <cellStyle name="Comma 4 2 2 3" xfId="519" xr:uid="{4F7CE285-9C1B-4267-A34F-17709306B4EB}"/>
    <cellStyle name="Comma 4 2 3" xfId="656" xr:uid="{F3179E4F-37C9-45BD-8B28-1FB5F806EC4D}"/>
    <cellStyle name="Comma 4 2 4" xfId="383" xr:uid="{18B60892-FAC7-44D2-8C19-F1992B19A690}"/>
    <cellStyle name="Comma 4 3" xfId="79" xr:uid="{20AE130B-270F-4233-A99F-D1165290BFF8}"/>
    <cellStyle name="Comma 4 3 2" xfId="217" xr:uid="{D5B36D05-3B6C-4A0A-875B-74C5B63CA478}"/>
    <cellStyle name="Comma 4 3 2 2" xfId="764" xr:uid="{2D1175B7-8159-48D4-9E72-0CF49BFC3148}"/>
    <cellStyle name="Comma 4 3 2 3" xfId="491" xr:uid="{4B4A91E2-52CD-4361-9D0C-2BBE69FBC41A}"/>
    <cellStyle name="Comma 4 3 3" xfId="628" xr:uid="{23170FFC-D6A7-4DAC-B69C-D3BD13F86A12}"/>
    <cellStyle name="Comma 4 3 4" xfId="355" xr:uid="{08B68DCC-7359-49AD-9A29-54826A6E221A}"/>
    <cellStyle name="Comma 4 4" xfId="51" xr:uid="{5BB2CABF-43E4-41C5-A605-C45A976E89AE}"/>
    <cellStyle name="Comma 4 4 2" xfId="189" xr:uid="{079A51F6-7348-426F-AEE0-9C811E19EE45}"/>
    <cellStyle name="Comma 4 4 2 2" xfId="736" xr:uid="{E0AA8D57-1BE4-4161-BD1C-1774C12B6C28}"/>
    <cellStyle name="Comma 4 4 2 3" xfId="463" xr:uid="{19957F0E-7FA3-4E89-8AF9-300548F37D23}"/>
    <cellStyle name="Comma 4 4 3" xfId="600" xr:uid="{73FA9212-D288-4108-99F9-88E87513D021}"/>
    <cellStyle name="Comma 4 4 4" xfId="327" xr:uid="{BE8C6215-09BC-42F1-BAE6-52DFD1D907B5}"/>
    <cellStyle name="Comma 4 5" xfId="134" xr:uid="{DB3A0236-82CE-4679-89AD-6D1094899759}"/>
    <cellStyle name="Comma 4 5 2" xfId="272" xr:uid="{64C6FAE4-43A1-49F1-8D1C-A69E9072830C}"/>
    <cellStyle name="Comma 4 5 2 2" xfId="819" xr:uid="{8B9E96B4-277A-4263-9589-03F40A0B3211}"/>
    <cellStyle name="Comma 4 5 2 3" xfId="546" xr:uid="{BD4BDB14-F57A-4F54-A90D-66C31F77F881}"/>
    <cellStyle name="Comma 4 5 3" xfId="683" xr:uid="{AD43D4CC-488A-42A5-BD50-242B8CCB1096}"/>
    <cellStyle name="Comma 4 5 4" xfId="410" xr:uid="{D4968A8B-FFC7-4F35-9036-CBF81E5203B2}"/>
    <cellStyle name="Comma 4 6" xfId="162" xr:uid="{2106C1EE-325D-4A87-83B2-1B1F8AD27499}"/>
    <cellStyle name="Comma 4 6 2" xfId="709" xr:uid="{835A88E0-3744-48B2-A619-7FAB3BF2073A}"/>
    <cellStyle name="Comma 4 6 3" xfId="436" xr:uid="{FB8AB4F7-D80D-4E84-AB48-EE0B7654C55F}"/>
    <cellStyle name="Comma 4 7" xfId="573" xr:uid="{6F2BB872-AC1C-41FD-99EA-AB2322E94AD6}"/>
    <cellStyle name="Comma 4 8" xfId="300" xr:uid="{58690E3F-B9DE-41DC-80D8-9D156340BB7C}"/>
    <cellStyle name="Comma 5" xfId="23" xr:uid="{00000000-0005-0000-0000-000017000000}"/>
    <cellStyle name="Comma 5 2" xfId="108" xr:uid="{44337FAB-DB6B-4747-9EE9-E70A60E72F2E}"/>
    <cellStyle name="Comma 5 2 2" xfId="246" xr:uid="{0C1D4E30-DC2E-4ABD-8143-451E22F9F059}"/>
    <cellStyle name="Comma 5 2 2 2" xfId="793" xr:uid="{81972294-E99A-453D-8030-4361BE9E0E29}"/>
    <cellStyle name="Comma 5 2 2 3" xfId="520" xr:uid="{180F98F1-AA88-46B3-90D1-AB81A23756DB}"/>
    <cellStyle name="Comma 5 2 3" xfId="657" xr:uid="{785529E5-4963-4DEE-81CE-9FF40FF320E3}"/>
    <cellStyle name="Comma 5 2 4" xfId="384" xr:uid="{C4BBA23C-DAA6-4669-84D9-51EFC418355A}"/>
    <cellStyle name="Comma 5 3" xfId="80" xr:uid="{56ADAD93-5B22-4D68-ACDE-42F2BB25A269}"/>
    <cellStyle name="Comma 5 3 2" xfId="218" xr:uid="{848DD61D-9ABA-4169-A061-488A6A983D5A}"/>
    <cellStyle name="Comma 5 3 2 2" xfId="765" xr:uid="{8E675694-F539-4F6C-8629-5B45C938B4A5}"/>
    <cellStyle name="Comma 5 3 2 3" xfId="492" xr:uid="{6105DD89-6D48-45E6-8AC3-851936643B15}"/>
    <cellStyle name="Comma 5 3 3" xfId="629" xr:uid="{B91D48D2-4EE6-4FFD-8A53-89DA9F2F0FF7}"/>
    <cellStyle name="Comma 5 3 4" xfId="356" xr:uid="{25D3ABF0-AA08-410E-A8D3-CAA61113CF89}"/>
    <cellStyle name="Comma 5 4" xfId="52" xr:uid="{88456F30-47A8-42F8-9C32-EF3BD0200A2F}"/>
    <cellStyle name="Comma 5 4 2" xfId="190" xr:uid="{5F1BC5F8-E26A-4DF1-A7F5-E70887459301}"/>
    <cellStyle name="Comma 5 4 2 2" xfId="737" xr:uid="{715BA0ED-8F44-4186-8027-4F348A3B5526}"/>
    <cellStyle name="Comma 5 4 2 3" xfId="464" xr:uid="{1F0E11DB-496F-43C2-9E6E-0DA19AA9F35A}"/>
    <cellStyle name="Comma 5 4 3" xfId="601" xr:uid="{24093972-861B-4C36-B1A1-D46A400F8639}"/>
    <cellStyle name="Comma 5 4 4" xfId="328" xr:uid="{78ADB7AB-2402-4804-B1D9-0E5D12FE75FA}"/>
    <cellStyle name="Comma 5 5" xfId="135" xr:uid="{2237F557-4905-46C5-8305-E39106464FA7}"/>
    <cellStyle name="Comma 5 5 2" xfId="273" xr:uid="{2A466278-0C4B-4788-87A5-B0E882CA2937}"/>
    <cellStyle name="Comma 5 5 2 2" xfId="820" xr:uid="{4F7F975F-7ECD-4821-AED3-069C897A21C2}"/>
    <cellStyle name="Comma 5 5 2 3" xfId="547" xr:uid="{8770CAEB-506A-4058-B4FE-60A0E56F070B}"/>
    <cellStyle name="Comma 5 5 3" xfId="684" xr:uid="{34154D4C-A16C-4A51-A967-B3DFD5345C5B}"/>
    <cellStyle name="Comma 5 5 4" xfId="411" xr:uid="{34138609-0C86-418E-9696-E8ECEB8CE48F}"/>
    <cellStyle name="Comma 5 6" xfId="163" xr:uid="{6B515511-F8D5-455D-BC35-B112E08C7146}"/>
    <cellStyle name="Comma 5 6 2" xfId="710" xr:uid="{B3EF5035-9E5C-4591-AF56-C79F08AB90DA}"/>
    <cellStyle name="Comma 5 6 3" xfId="437" xr:uid="{10FD1B12-7E55-41D3-9C3A-EA357EFE7CB5}"/>
    <cellStyle name="Comma 5 7" xfId="574" xr:uid="{8F6A146A-D656-434A-AFA1-636629690CCD}"/>
    <cellStyle name="Comma 5 8" xfId="301" xr:uid="{F33C30B6-39FF-42BF-8B0D-53853393B54E}"/>
    <cellStyle name="Comma 6" xfId="24" xr:uid="{00000000-0005-0000-0000-000018000000}"/>
    <cellStyle name="Comma 6 2" xfId="109" xr:uid="{A6A424CF-AD2A-4335-8FFF-AAEB7D02BA8F}"/>
    <cellStyle name="Comma 6 2 2" xfId="247" xr:uid="{A864C86A-CFFC-4B2B-B49D-3164BB14D7B9}"/>
    <cellStyle name="Comma 6 2 2 2" xfId="794" xr:uid="{3B12192A-FB68-42CF-B10C-7DC7384A8361}"/>
    <cellStyle name="Comma 6 2 2 3" xfId="521" xr:uid="{268F6267-B684-4728-AA63-3BA8304D596B}"/>
    <cellStyle name="Comma 6 2 3" xfId="658" xr:uid="{59530053-A43F-4777-A5CD-B0F4F09716B5}"/>
    <cellStyle name="Comma 6 2 4" xfId="385" xr:uid="{01542977-CC29-4ADE-B1B3-503E0549525A}"/>
    <cellStyle name="Comma 6 3" xfId="81" xr:uid="{5D68694E-3281-4F50-A078-027462E308F3}"/>
    <cellStyle name="Comma 6 3 2" xfId="219" xr:uid="{56149D77-45B2-4B09-B665-1DE68E22CF78}"/>
    <cellStyle name="Comma 6 3 2 2" xfId="766" xr:uid="{6045647D-9E50-40BE-84DA-C8FE9889EC19}"/>
    <cellStyle name="Comma 6 3 2 3" xfId="493" xr:uid="{409BAB7E-2A87-4324-8D8E-CC1BA7ECB56B}"/>
    <cellStyle name="Comma 6 3 3" xfId="630" xr:uid="{D28B3784-BAFA-43B5-8F4D-829EA321A265}"/>
    <cellStyle name="Comma 6 3 4" xfId="357" xr:uid="{CBD0511C-6C75-4A86-85F8-6170BEFBDCF6}"/>
    <cellStyle name="Comma 6 4" xfId="53" xr:uid="{E9EC2D47-C035-468F-8562-F1DE4D6B08E9}"/>
    <cellStyle name="Comma 6 4 2" xfId="191" xr:uid="{18A80AB1-954D-45F8-962B-51B96241680D}"/>
    <cellStyle name="Comma 6 4 2 2" xfId="738" xr:uid="{8D257E49-BE46-4846-912F-FAB9E071DD22}"/>
    <cellStyle name="Comma 6 4 2 3" xfId="465" xr:uid="{8398ACB6-57AE-42A1-8E2B-E91A3DBFEF67}"/>
    <cellStyle name="Comma 6 4 3" xfId="602" xr:uid="{445689DB-3E06-448D-9A64-0EDD91212A70}"/>
    <cellStyle name="Comma 6 4 4" xfId="329" xr:uid="{7749F7D1-FAA9-455D-B95C-3B076079CBCE}"/>
    <cellStyle name="Comma 6 5" xfId="136" xr:uid="{D6BE6D0B-95A4-41E0-B77B-A4497EDE193F}"/>
    <cellStyle name="Comma 6 5 2" xfId="274" xr:uid="{4C245992-0A05-4A31-B149-B019AB9E9643}"/>
    <cellStyle name="Comma 6 5 2 2" xfId="821" xr:uid="{23B55B6F-8816-4D80-9AD1-CA2A500FAD1D}"/>
    <cellStyle name="Comma 6 5 2 3" xfId="548" xr:uid="{0246BA16-8BCA-43B9-BDC4-C0A44885B026}"/>
    <cellStyle name="Comma 6 5 3" xfId="685" xr:uid="{B191AB31-4BAD-4CF3-B22D-017F831C1A15}"/>
    <cellStyle name="Comma 6 5 4" xfId="412" xr:uid="{173B6B12-CF25-4C1C-822A-71F0A5004BDE}"/>
    <cellStyle name="Comma 6 6" xfId="164" xr:uid="{3C0863F3-E5D4-4360-A63D-1701707CE99F}"/>
    <cellStyle name="Comma 6 6 2" xfId="711" xr:uid="{719FA2F1-3166-4FE4-828C-119C494C175F}"/>
    <cellStyle name="Comma 6 6 3" xfId="438" xr:uid="{F24AAE36-489E-4189-A79A-4B6328C84EF7}"/>
    <cellStyle name="Comma 6 7" xfId="575" xr:uid="{85B38DC2-A5D9-4F6A-901F-84895EE328BA}"/>
    <cellStyle name="Comma 6 8" xfId="302" xr:uid="{E9DB54EE-C098-49D2-A0A7-7CF1CA410D75}"/>
    <cellStyle name="Comma 7" xfId="25" xr:uid="{00000000-0005-0000-0000-000019000000}"/>
    <cellStyle name="Comma 7 2" xfId="110" xr:uid="{AAF3D726-95E7-42D9-BF4C-8B7DAC100E29}"/>
    <cellStyle name="Comma 7 2 2" xfId="248" xr:uid="{7E672C5F-3F3F-4215-B48F-5134C91A5F40}"/>
    <cellStyle name="Comma 7 2 2 2" xfId="795" xr:uid="{FE075A65-2A78-4592-AC98-9FC4AD3F27EC}"/>
    <cellStyle name="Comma 7 2 2 3" xfId="522" xr:uid="{520388EB-2832-47C2-B06D-5A8BED862E2F}"/>
    <cellStyle name="Comma 7 2 3" xfId="659" xr:uid="{A4AC02E7-1407-493F-A3BA-CE1D94A511A9}"/>
    <cellStyle name="Comma 7 2 4" xfId="386" xr:uid="{2C8ACCF8-4037-4031-979A-A8C8BCD17C90}"/>
    <cellStyle name="Comma 7 3" xfId="82" xr:uid="{D9C686D2-0CCA-4657-8B18-DBDA3045CBA2}"/>
    <cellStyle name="Comma 7 3 2" xfId="220" xr:uid="{A81F45CC-9903-44BA-8796-1DC98CC64115}"/>
    <cellStyle name="Comma 7 3 2 2" xfId="767" xr:uid="{F63AE82B-B648-4CB3-A8B9-471FB00D2942}"/>
    <cellStyle name="Comma 7 3 2 3" xfId="494" xr:uid="{F49722C5-AA28-4B0B-9BDB-75E8BE599DD2}"/>
    <cellStyle name="Comma 7 3 3" xfId="631" xr:uid="{12908CAE-FD11-4327-A0E1-2783B85F1DDA}"/>
    <cellStyle name="Comma 7 3 4" xfId="358" xr:uid="{91476432-F746-4FAE-9C58-BF278227757D}"/>
    <cellStyle name="Comma 7 4" xfId="54" xr:uid="{778A80BB-69F8-4B8E-90BD-93442125BB08}"/>
    <cellStyle name="Comma 7 4 2" xfId="192" xr:uid="{0F30A740-AED0-4626-87D2-2E26C291B5E7}"/>
    <cellStyle name="Comma 7 4 2 2" xfId="739" xr:uid="{D14AED26-080E-4B28-94EB-0DF195B9072A}"/>
    <cellStyle name="Comma 7 4 2 3" xfId="466" xr:uid="{644DDD67-2130-4A90-A385-B16290467434}"/>
    <cellStyle name="Comma 7 4 3" xfId="603" xr:uid="{F6E8E742-20E7-4318-A385-C74D6F7019BA}"/>
    <cellStyle name="Comma 7 4 4" xfId="330" xr:uid="{ED5114FF-C4D3-4FAC-A4FD-E5D5A79227E8}"/>
    <cellStyle name="Comma 7 5" xfId="137" xr:uid="{AEA14822-076F-4A9F-9748-CC067E3221B2}"/>
    <cellStyle name="Comma 7 5 2" xfId="275" xr:uid="{9B1E8BFB-6419-4791-A080-2D9860420551}"/>
    <cellStyle name="Comma 7 5 2 2" xfId="822" xr:uid="{17127ECC-0412-4463-83CA-8D61CB8482C3}"/>
    <cellStyle name="Comma 7 5 2 3" xfId="549" xr:uid="{716E1384-8E17-4D26-B1D5-D3B16A023AF9}"/>
    <cellStyle name="Comma 7 5 3" xfId="686" xr:uid="{38D5405A-D724-49C5-9C0F-180A08BBE0F9}"/>
    <cellStyle name="Comma 7 5 4" xfId="413" xr:uid="{AC1F1C01-9CED-45C0-8704-C70D35A181B3}"/>
    <cellStyle name="Comma 7 6" xfId="165" xr:uid="{C3F23B30-7EE6-4867-A2BC-857782B1FEAB}"/>
    <cellStyle name="Comma 7 6 2" xfId="712" xr:uid="{0D54A1AE-5028-4CFD-A9F0-628A6B49143C}"/>
    <cellStyle name="Comma 7 6 3" xfId="439" xr:uid="{F41F4146-62A1-4973-8653-69B9E21E9660}"/>
    <cellStyle name="Comma 7 7" xfId="576" xr:uid="{CE933476-FB17-4218-8142-DCEA5DF63CD7}"/>
    <cellStyle name="Comma 7 8" xfId="303" xr:uid="{F00E6A45-9520-42E8-9611-612EB88FF6F9}"/>
    <cellStyle name="Comma 8" xfId="26" xr:uid="{00000000-0005-0000-0000-00001A000000}"/>
    <cellStyle name="Comma 8 2" xfId="111" xr:uid="{62BBE5C7-BB33-4DC0-99BC-C806ADAA59B9}"/>
    <cellStyle name="Comma 8 2 2" xfId="249" xr:uid="{5E851A0B-E27A-42C6-8BB6-B52541ED0241}"/>
    <cellStyle name="Comma 8 2 2 2" xfId="796" xr:uid="{A8FB16FC-A631-4FE5-8E7C-24B4B1E0CA88}"/>
    <cellStyle name="Comma 8 2 2 3" xfId="523" xr:uid="{E32FF5F0-98F4-4399-A6E3-51CEBE25AD8D}"/>
    <cellStyle name="Comma 8 2 3" xfId="660" xr:uid="{2652463A-BAD6-479D-9EED-513929A66CC4}"/>
    <cellStyle name="Comma 8 2 4" xfId="387" xr:uid="{1E68FA1F-52A3-4E23-BECF-EF2BCE793FFD}"/>
    <cellStyle name="Comma 8 3" xfId="83" xr:uid="{8C228366-59A3-4072-B18E-DF8FAF60504D}"/>
    <cellStyle name="Comma 8 3 2" xfId="221" xr:uid="{CAD37F46-039B-4834-A275-12C43D92FD13}"/>
    <cellStyle name="Comma 8 3 2 2" xfId="768" xr:uid="{7A25875D-F09B-4B0E-B582-B673C319392B}"/>
    <cellStyle name="Comma 8 3 2 3" xfId="495" xr:uid="{8366CF59-A8C6-4C40-AD37-04D7C7B3E1DB}"/>
    <cellStyle name="Comma 8 3 3" xfId="632" xr:uid="{7AB15DD6-E189-433D-B441-FACE2C93B65A}"/>
    <cellStyle name="Comma 8 3 4" xfId="359" xr:uid="{8C329B13-69BC-441B-9707-9EF4F664D488}"/>
    <cellStyle name="Comma 8 4" xfId="55" xr:uid="{FEE7EF4D-9DDC-4C56-A955-0A5781196360}"/>
    <cellStyle name="Comma 8 4 2" xfId="193" xr:uid="{8EFCA77F-4BC9-4082-8AEA-8EAC42A0C1D5}"/>
    <cellStyle name="Comma 8 4 2 2" xfId="740" xr:uid="{954C8FAA-9B00-4302-9B3A-171EE0F3B2A1}"/>
    <cellStyle name="Comma 8 4 2 3" xfId="467" xr:uid="{46DE6FB5-B9DD-4C69-A260-5C171BD2D43F}"/>
    <cellStyle name="Comma 8 4 3" xfId="604" xr:uid="{40C26F3F-788E-4AC5-9707-BD5E38261D04}"/>
    <cellStyle name="Comma 8 4 4" xfId="331" xr:uid="{CA7DEEA6-BDB2-4D8C-9AD3-1E3E20DB8084}"/>
    <cellStyle name="Comma 8 5" xfId="138" xr:uid="{08A915E1-9340-4159-A4B0-173F2A0ABD16}"/>
    <cellStyle name="Comma 8 5 2" xfId="276" xr:uid="{97A3991B-623B-464C-8B3D-33681B0D5777}"/>
    <cellStyle name="Comma 8 5 2 2" xfId="823" xr:uid="{BD3C7B48-AB13-40CE-999C-079EA0873427}"/>
    <cellStyle name="Comma 8 5 2 3" xfId="550" xr:uid="{9749D7CF-0789-4BF7-9344-E1D043065D87}"/>
    <cellStyle name="Comma 8 5 3" xfId="687" xr:uid="{FE7D59D8-A1DE-4133-908A-22F3D2208675}"/>
    <cellStyle name="Comma 8 5 4" xfId="414" xr:uid="{D8173DDE-9FD8-428A-AA82-BFB119AD1F67}"/>
    <cellStyle name="Comma 8 6" xfId="166" xr:uid="{C1044D85-8579-4A6B-A623-F7B7DDF32C75}"/>
    <cellStyle name="Comma 8 6 2" xfId="713" xr:uid="{72FBA670-ABEE-478B-8FC4-446610BE47F2}"/>
    <cellStyle name="Comma 8 6 3" xfId="440" xr:uid="{09CB6FCF-74EE-45B5-842A-70D4B04B23C7}"/>
    <cellStyle name="Comma 8 7" xfId="577" xr:uid="{BF422849-8C6A-4D1E-AFDA-5B8A1AC79A53}"/>
    <cellStyle name="Comma 8 8" xfId="304" xr:uid="{C073F9C7-08B8-4837-8DFC-720FED163C56}"/>
    <cellStyle name="Comma 9" xfId="27" xr:uid="{00000000-0005-0000-0000-00001B000000}"/>
    <cellStyle name="Comma 9 2" xfId="112" xr:uid="{9B2D59B9-D453-4C83-A135-845B44881302}"/>
    <cellStyle name="Comma 9 2 2" xfId="250" xr:uid="{89D418B0-8876-46D0-A062-96426A0B82CE}"/>
    <cellStyle name="Comma 9 2 2 2" xfId="797" xr:uid="{A771BD8C-1106-480A-8B25-E797D6BD2ECB}"/>
    <cellStyle name="Comma 9 2 2 3" xfId="524" xr:uid="{3D895BF8-2740-498C-A5DE-9928580179F9}"/>
    <cellStyle name="Comma 9 2 3" xfId="661" xr:uid="{76F7C4A3-8D1F-4FA1-8AA7-BD4EC7DA73DF}"/>
    <cellStyle name="Comma 9 2 4" xfId="388" xr:uid="{DB7EF0EC-6FB2-4B33-9A91-0505CE117AE2}"/>
    <cellStyle name="Comma 9 3" xfId="84" xr:uid="{95CD65F0-2349-446C-A48F-084F72BFE9CE}"/>
    <cellStyle name="Comma 9 3 2" xfId="222" xr:uid="{39FD96D8-CBFF-43A3-8E21-E8284589EC8D}"/>
    <cellStyle name="Comma 9 3 2 2" xfId="769" xr:uid="{27218355-0FCC-4424-B56E-22EBF7D2C074}"/>
    <cellStyle name="Comma 9 3 2 3" xfId="496" xr:uid="{087678FD-F3DB-412C-A4CC-DE0FC44C64E0}"/>
    <cellStyle name="Comma 9 3 3" xfId="633" xr:uid="{68C315A5-3040-4ECA-9DE5-F31159726279}"/>
    <cellStyle name="Comma 9 3 4" xfId="360" xr:uid="{E96311FE-057F-48CD-97F5-567E76631E7F}"/>
    <cellStyle name="Comma 9 4" xfId="56" xr:uid="{49CC4217-53E6-4BBC-905D-51C7F63A9962}"/>
    <cellStyle name="Comma 9 4 2" xfId="194" xr:uid="{4F15357B-D0CF-40ED-BD89-BAB0232E2BCF}"/>
    <cellStyle name="Comma 9 4 2 2" xfId="741" xr:uid="{4E054307-976C-4F70-B28F-425989E10B1A}"/>
    <cellStyle name="Comma 9 4 2 3" xfId="468" xr:uid="{C43B65C5-F749-4618-86CD-72CFB093E142}"/>
    <cellStyle name="Comma 9 4 3" xfId="605" xr:uid="{90607CF2-54EA-4396-8A6F-6ABF6CB781F9}"/>
    <cellStyle name="Comma 9 4 4" xfId="332" xr:uid="{8DF92645-D09E-452D-A636-AC4666347BE9}"/>
    <cellStyle name="Comma 9 5" xfId="139" xr:uid="{A501F1D6-E7A1-4A50-90CF-1C4E24320154}"/>
    <cellStyle name="Comma 9 5 2" xfId="277" xr:uid="{33361991-770B-4BA3-8A8D-F288740B2E25}"/>
    <cellStyle name="Comma 9 5 2 2" xfId="824" xr:uid="{765E87CF-CC06-4032-9297-98D9A2B4A7B1}"/>
    <cellStyle name="Comma 9 5 2 3" xfId="551" xr:uid="{4C1D82A7-53C9-4F58-ADB5-C31F114D56C8}"/>
    <cellStyle name="Comma 9 5 3" xfId="688" xr:uid="{6AEC0688-590E-49C4-9235-3F0B011569F3}"/>
    <cellStyle name="Comma 9 5 4" xfId="415" xr:uid="{81BB5170-3203-403C-8189-68A71DB888A5}"/>
    <cellStyle name="Comma 9 6" xfId="167" xr:uid="{336060C5-400C-48F4-9E4E-1DC68A426EA5}"/>
    <cellStyle name="Comma 9 6 2" xfId="714" xr:uid="{1F9D7DC1-1553-420C-A605-F091EF1FEE7C}"/>
    <cellStyle name="Comma 9 6 3" xfId="441" xr:uid="{81936CC8-6BFD-49CC-A94A-B64285B7E673}"/>
    <cellStyle name="Comma 9 7" xfId="578" xr:uid="{C0F8AF51-087E-44AB-9CD1-0C464F033158}"/>
    <cellStyle name="Comma 9 8" xfId="305" xr:uid="{F117FAB6-3063-4AA3-BF35-B1C03525C3B0}"/>
    <cellStyle name="Hyperlink" xfId="1" builtinId="8"/>
    <cellStyle name="Normal" xfId="0" builtinId="0"/>
    <cellStyle name="Normal 2" xfId="29" xr:uid="{00000000-0005-0000-0000-00001E000000}"/>
    <cellStyle name="Normal 2 2" xfId="141" xr:uid="{C778E8BC-2E97-4E61-8FB6-8D3D2255578C}"/>
    <cellStyle name="Normal 4" xfId="142" xr:uid="{01B8C518-8EF6-4420-B080-EC6E08284B6C}"/>
    <cellStyle name="Percent" xfId="28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CD93-8DFA-441F-A763-783A08145EE2}">
  <dimension ref="A1:T50"/>
  <sheetViews>
    <sheetView tabSelected="1" view="pageBreakPreview" zoomScale="45" zoomScaleNormal="100" zoomScaleSheetLayoutView="54" workbookViewId="0">
      <selection activeCell="B43" sqref="B43"/>
    </sheetView>
  </sheetViews>
  <sheetFormatPr defaultColWidth="9.109375" defaultRowHeight="17.399999999999999" x14ac:dyDescent="0.3"/>
  <cols>
    <col min="1" max="1" width="11.33203125" style="4" customWidth="1"/>
    <col min="2" max="2" width="50.6640625" style="1" customWidth="1"/>
    <col min="3" max="3" width="21.33203125" style="1" customWidth="1"/>
    <col min="4" max="4" width="24.5546875" style="1" customWidth="1"/>
    <col min="5" max="5" width="20.6640625" style="1" customWidth="1"/>
    <col min="6" max="6" width="10" style="40" customWidth="1"/>
    <col min="7" max="7" width="10.5546875" style="40" customWidth="1"/>
    <col min="8" max="9" width="13.109375" style="1" customWidth="1"/>
    <col min="10" max="10" width="9.109375" style="61"/>
    <col min="11" max="11" width="10.44140625" style="24" bestFit="1" customWidth="1"/>
    <col min="12" max="12" width="9.109375" style="32"/>
    <col min="13" max="13" width="9.5546875" style="19" customWidth="1"/>
    <col min="14" max="14" width="11.5546875" style="28" bestFit="1" customWidth="1"/>
    <col min="15" max="15" width="9.109375" style="1"/>
    <col min="16" max="16" width="9.109375" style="35"/>
    <col min="17" max="16384" width="9.109375" style="1"/>
  </cols>
  <sheetData>
    <row r="1" spans="1:16" ht="21" x14ac:dyDescent="0.3">
      <c r="A1" s="82" t="s">
        <v>11</v>
      </c>
      <c r="B1" s="83"/>
      <c r="C1" s="83"/>
      <c r="D1" s="83"/>
      <c r="E1" s="83"/>
      <c r="F1" s="83"/>
      <c r="G1" s="83"/>
      <c r="H1" s="83"/>
      <c r="I1" s="84"/>
      <c r="J1" s="60"/>
      <c r="K1" s="23"/>
      <c r="L1" s="31"/>
      <c r="M1" s="18"/>
      <c r="N1" s="27"/>
    </row>
    <row r="2" spans="1:16" ht="20.100000000000001" customHeight="1" x14ac:dyDescent="0.3">
      <c r="A2" s="8" t="s">
        <v>17</v>
      </c>
      <c r="B2" s="67"/>
      <c r="C2" s="69"/>
      <c r="D2" s="8" t="s">
        <v>35</v>
      </c>
      <c r="E2" s="67" t="s">
        <v>41</v>
      </c>
      <c r="F2" s="68"/>
      <c r="G2" s="68"/>
      <c r="H2" s="68"/>
      <c r="I2" s="69"/>
    </row>
    <row r="3" spans="1:16" ht="24" customHeight="1" x14ac:dyDescent="0.3">
      <c r="A3" s="8" t="s">
        <v>18</v>
      </c>
      <c r="B3" s="67"/>
      <c r="C3" s="69"/>
      <c r="D3" s="8" t="s">
        <v>34</v>
      </c>
      <c r="E3" s="85"/>
      <c r="F3" s="68"/>
      <c r="G3" s="68"/>
      <c r="H3" s="68"/>
      <c r="I3" s="69"/>
    </row>
    <row r="4" spans="1:16" ht="19.5" customHeight="1" x14ac:dyDescent="0.3">
      <c r="A4" s="9" t="s">
        <v>6</v>
      </c>
      <c r="B4" s="67"/>
      <c r="C4" s="69"/>
      <c r="D4" s="9" t="s">
        <v>5</v>
      </c>
      <c r="E4" s="86" t="s">
        <v>44</v>
      </c>
      <c r="F4" s="87"/>
      <c r="G4" s="87"/>
      <c r="H4" s="87"/>
      <c r="I4" s="88"/>
    </row>
    <row r="5" spans="1:16" ht="20.100000000000001" customHeight="1" x14ac:dyDescent="0.3">
      <c r="A5" s="8" t="s">
        <v>15</v>
      </c>
      <c r="B5" s="89"/>
      <c r="C5" s="69"/>
      <c r="D5" s="8" t="s">
        <v>12</v>
      </c>
      <c r="E5" s="67"/>
      <c r="F5" s="68"/>
      <c r="G5" s="68"/>
      <c r="H5" s="68"/>
      <c r="I5" s="69"/>
    </row>
    <row r="6" spans="1:16" ht="20.100000000000001" customHeight="1" x14ac:dyDescent="0.3">
      <c r="A6" s="8" t="s">
        <v>16</v>
      </c>
      <c r="B6" s="67" t="s">
        <v>28</v>
      </c>
      <c r="C6" s="69"/>
      <c r="D6" s="8" t="s">
        <v>19</v>
      </c>
      <c r="E6" s="85"/>
      <c r="F6" s="68"/>
      <c r="G6" s="68"/>
      <c r="H6" s="68"/>
      <c r="I6" s="69"/>
    </row>
    <row r="7" spans="1:16" ht="8.25" customHeight="1" x14ac:dyDescent="0.3">
      <c r="A7" s="43"/>
      <c r="I7" s="44"/>
    </row>
    <row r="8" spans="1:16" x14ac:dyDescent="0.3">
      <c r="A8" s="45" t="s">
        <v>23</v>
      </c>
      <c r="B8"/>
      <c r="C8"/>
      <c r="D8"/>
      <c r="E8"/>
      <c r="F8" s="46"/>
      <c r="G8" s="46"/>
      <c r="H8"/>
      <c r="I8" s="47"/>
    </row>
    <row r="9" spans="1:16" x14ac:dyDescent="0.3">
      <c r="A9" s="64" t="s">
        <v>20</v>
      </c>
      <c r="B9" s="65"/>
      <c r="C9" s="65"/>
      <c r="D9" s="65"/>
      <c r="E9" s="65"/>
      <c r="F9" s="65"/>
      <c r="G9" s="65"/>
      <c r="H9" s="65"/>
      <c r="I9" s="66"/>
    </row>
    <row r="10" spans="1:16" ht="10.5" customHeight="1" x14ac:dyDescent="0.3">
      <c r="A10" s="43"/>
      <c r="I10" s="44"/>
    </row>
    <row r="11" spans="1:16" ht="42" customHeight="1" thickBot="1" x14ac:dyDescent="0.35">
      <c r="A11" s="11" t="s">
        <v>22</v>
      </c>
      <c r="B11" s="11" t="s">
        <v>0</v>
      </c>
      <c r="C11" s="11" t="s">
        <v>32</v>
      </c>
      <c r="D11" s="11" t="s">
        <v>1</v>
      </c>
      <c r="E11" s="11" t="s">
        <v>33</v>
      </c>
      <c r="F11" s="11" t="s">
        <v>2</v>
      </c>
      <c r="G11" s="11" t="s">
        <v>7</v>
      </c>
      <c r="H11" s="11" t="s">
        <v>25</v>
      </c>
      <c r="I11" s="11" t="s">
        <v>24</v>
      </c>
      <c r="J11" s="17"/>
      <c r="K11" s="25" t="s">
        <v>36</v>
      </c>
      <c r="L11" s="33" t="s">
        <v>37</v>
      </c>
      <c r="M11" s="20" t="s">
        <v>39</v>
      </c>
      <c r="N11" s="29" t="s">
        <v>38</v>
      </c>
      <c r="O11" s="21"/>
    </row>
    <row r="12" spans="1:16" ht="94.2" thickBot="1" x14ac:dyDescent="0.3">
      <c r="A12" s="58" t="s">
        <v>42</v>
      </c>
      <c r="B12" s="57" t="s">
        <v>43</v>
      </c>
      <c r="C12" s="59"/>
      <c r="D12" s="39"/>
      <c r="E12" s="39" t="s">
        <v>45</v>
      </c>
      <c r="F12" s="16"/>
      <c r="G12" s="16"/>
      <c r="H12" s="15"/>
      <c r="I12" s="38">
        <f t="shared" ref="I12" si="0">F12*H12</f>
        <v>0</v>
      </c>
      <c r="J12" s="62"/>
      <c r="K12" s="26"/>
      <c r="L12" s="34"/>
      <c r="M12" s="22">
        <f t="shared" ref="M12" si="1">+K12*L12</f>
        <v>0</v>
      </c>
      <c r="N12" s="30">
        <f t="shared" ref="N12" si="2">+K12+M12</f>
        <v>0</v>
      </c>
      <c r="O12" s="15"/>
      <c r="P12" s="36">
        <f t="shared" ref="P12" si="3">+N12-H12</f>
        <v>0</v>
      </c>
    </row>
    <row r="13" spans="1:16" ht="94.2" thickBot="1" x14ac:dyDescent="0.3">
      <c r="A13" s="58" t="s">
        <v>46</v>
      </c>
      <c r="B13" s="57" t="s">
        <v>43</v>
      </c>
      <c r="C13" s="59"/>
      <c r="D13" s="39"/>
      <c r="E13" s="39" t="s">
        <v>45</v>
      </c>
      <c r="F13" s="16"/>
      <c r="G13" s="16"/>
      <c r="H13" s="15"/>
      <c r="I13" s="38">
        <f t="shared" ref="I13:I31" si="4">F13*H13</f>
        <v>0</v>
      </c>
      <c r="J13" s="62"/>
      <c r="K13" s="26"/>
      <c r="L13" s="34"/>
      <c r="M13" s="22">
        <f t="shared" ref="M13:M31" si="5">+K13*L13</f>
        <v>0</v>
      </c>
      <c r="N13" s="30">
        <f t="shared" ref="N13:N31" si="6">+K13+M13</f>
        <v>0</v>
      </c>
      <c r="O13" s="15"/>
      <c r="P13" s="36">
        <f t="shared" ref="P13:P31" si="7">+N13-H13</f>
        <v>0</v>
      </c>
    </row>
    <row r="14" spans="1:16" ht="94.2" thickBot="1" x14ac:dyDescent="0.3">
      <c r="A14" s="58" t="s">
        <v>47</v>
      </c>
      <c r="B14" s="57" t="s">
        <v>43</v>
      </c>
      <c r="C14" s="59"/>
      <c r="D14" s="39"/>
      <c r="E14" s="39" t="s">
        <v>45</v>
      </c>
      <c r="F14" s="16"/>
      <c r="G14" s="16"/>
      <c r="H14" s="15"/>
      <c r="I14" s="38">
        <f t="shared" si="4"/>
        <v>0</v>
      </c>
      <c r="J14" s="62"/>
      <c r="K14" s="26"/>
      <c r="L14" s="34"/>
      <c r="M14" s="22">
        <f t="shared" si="5"/>
        <v>0</v>
      </c>
      <c r="N14" s="30">
        <f t="shared" si="6"/>
        <v>0</v>
      </c>
      <c r="O14" s="15"/>
      <c r="P14" s="36">
        <f t="shared" si="7"/>
        <v>0</v>
      </c>
    </row>
    <row r="15" spans="1:16" ht="94.2" thickBot="1" x14ac:dyDescent="0.3">
      <c r="A15" s="58" t="s">
        <v>48</v>
      </c>
      <c r="B15" s="57" t="s">
        <v>43</v>
      </c>
      <c r="C15" s="59"/>
      <c r="D15" s="39"/>
      <c r="E15" s="39" t="s">
        <v>45</v>
      </c>
      <c r="F15" s="16"/>
      <c r="G15" s="16"/>
      <c r="H15" s="15"/>
      <c r="I15" s="38">
        <f t="shared" si="4"/>
        <v>0</v>
      </c>
      <c r="J15" s="62"/>
      <c r="K15" s="26"/>
      <c r="L15" s="34"/>
      <c r="M15" s="22">
        <f t="shared" si="5"/>
        <v>0</v>
      </c>
      <c r="N15" s="30">
        <f t="shared" si="6"/>
        <v>0</v>
      </c>
      <c r="O15" s="15"/>
      <c r="P15" s="36">
        <f t="shared" si="7"/>
        <v>0</v>
      </c>
    </row>
    <row r="16" spans="1:16" ht="94.2" thickBot="1" x14ac:dyDescent="0.3">
      <c r="A16" s="58" t="s">
        <v>49</v>
      </c>
      <c r="B16" s="57" t="s">
        <v>43</v>
      </c>
      <c r="C16" s="59"/>
      <c r="D16" s="39"/>
      <c r="E16" s="39" t="s">
        <v>45</v>
      </c>
      <c r="F16" s="16"/>
      <c r="G16" s="16"/>
      <c r="H16" s="15"/>
      <c r="I16" s="38">
        <f t="shared" si="4"/>
        <v>0</v>
      </c>
      <c r="J16" s="62"/>
      <c r="K16" s="26"/>
      <c r="L16" s="34"/>
      <c r="M16" s="22">
        <f t="shared" si="5"/>
        <v>0</v>
      </c>
      <c r="N16" s="30">
        <f t="shared" si="6"/>
        <v>0</v>
      </c>
      <c r="O16" s="15"/>
      <c r="P16" s="36">
        <f t="shared" si="7"/>
        <v>0</v>
      </c>
    </row>
    <row r="17" spans="1:16" ht="94.2" thickBot="1" x14ac:dyDescent="0.3">
      <c r="A17" s="58" t="s">
        <v>50</v>
      </c>
      <c r="B17" s="57" t="s">
        <v>43</v>
      </c>
      <c r="C17" s="59"/>
      <c r="D17" s="39"/>
      <c r="E17" s="39" t="s">
        <v>45</v>
      </c>
      <c r="F17" s="16"/>
      <c r="G17" s="16"/>
      <c r="H17" s="15"/>
      <c r="I17" s="38">
        <f t="shared" si="4"/>
        <v>0</v>
      </c>
      <c r="J17" s="62"/>
      <c r="K17" s="26"/>
      <c r="L17" s="34"/>
      <c r="M17" s="22">
        <f t="shared" si="5"/>
        <v>0</v>
      </c>
      <c r="N17" s="30">
        <f t="shared" si="6"/>
        <v>0</v>
      </c>
      <c r="O17" s="15"/>
      <c r="P17" s="36">
        <f t="shared" si="7"/>
        <v>0</v>
      </c>
    </row>
    <row r="18" spans="1:16" ht="94.2" thickBot="1" x14ac:dyDescent="0.3">
      <c r="A18" s="58" t="s">
        <v>51</v>
      </c>
      <c r="B18" s="57" t="s">
        <v>43</v>
      </c>
      <c r="C18" s="59"/>
      <c r="D18" s="39"/>
      <c r="E18" s="39" t="s">
        <v>45</v>
      </c>
      <c r="F18" s="16"/>
      <c r="G18" s="16"/>
      <c r="H18" s="15"/>
      <c r="I18" s="38">
        <f t="shared" si="4"/>
        <v>0</v>
      </c>
      <c r="J18" s="62"/>
      <c r="K18" s="26"/>
      <c r="L18" s="34"/>
      <c r="M18" s="22">
        <f t="shared" si="5"/>
        <v>0</v>
      </c>
      <c r="N18" s="30">
        <f t="shared" si="6"/>
        <v>0</v>
      </c>
      <c r="O18" s="15"/>
      <c r="P18" s="36">
        <f t="shared" si="7"/>
        <v>0</v>
      </c>
    </row>
    <row r="19" spans="1:16" ht="94.2" thickBot="1" x14ac:dyDescent="0.3">
      <c r="A19" s="58" t="s">
        <v>52</v>
      </c>
      <c r="B19" s="57" t="s">
        <v>43</v>
      </c>
      <c r="C19" s="59"/>
      <c r="D19" s="39"/>
      <c r="E19" s="39" t="s">
        <v>45</v>
      </c>
      <c r="F19" s="16"/>
      <c r="G19" s="16"/>
      <c r="H19" s="15"/>
      <c r="I19" s="38">
        <f t="shared" si="4"/>
        <v>0</v>
      </c>
      <c r="J19" s="62"/>
      <c r="K19" s="26"/>
      <c r="L19" s="34"/>
      <c r="M19" s="22">
        <f t="shared" si="5"/>
        <v>0</v>
      </c>
      <c r="N19" s="30">
        <f t="shared" si="6"/>
        <v>0</v>
      </c>
      <c r="O19" s="15"/>
      <c r="P19" s="36">
        <f t="shared" si="7"/>
        <v>0</v>
      </c>
    </row>
    <row r="20" spans="1:16" ht="94.2" thickBot="1" x14ac:dyDescent="0.3">
      <c r="A20" s="58" t="s">
        <v>53</v>
      </c>
      <c r="B20" s="57" t="s">
        <v>43</v>
      </c>
      <c r="C20" s="59"/>
      <c r="D20" s="39"/>
      <c r="E20" s="39" t="s">
        <v>45</v>
      </c>
      <c r="F20" s="16"/>
      <c r="G20" s="16"/>
      <c r="H20" s="15"/>
      <c r="I20" s="38">
        <f t="shared" si="4"/>
        <v>0</v>
      </c>
      <c r="J20" s="62"/>
      <c r="K20" s="26"/>
      <c r="L20" s="34"/>
      <c r="M20" s="22">
        <f t="shared" si="5"/>
        <v>0</v>
      </c>
      <c r="N20" s="30">
        <f t="shared" si="6"/>
        <v>0</v>
      </c>
      <c r="O20" s="15"/>
      <c r="P20" s="36">
        <f t="shared" si="7"/>
        <v>0</v>
      </c>
    </row>
    <row r="21" spans="1:16" ht="94.2" thickBot="1" x14ac:dyDescent="0.3">
      <c r="A21" s="58" t="s">
        <v>54</v>
      </c>
      <c r="B21" s="57" t="s">
        <v>43</v>
      </c>
      <c r="C21" s="59"/>
      <c r="D21" s="39"/>
      <c r="E21" s="39" t="s">
        <v>45</v>
      </c>
      <c r="F21" s="16"/>
      <c r="G21" s="16"/>
      <c r="H21" s="15"/>
      <c r="I21" s="38">
        <f t="shared" si="4"/>
        <v>0</v>
      </c>
      <c r="J21" s="62"/>
      <c r="K21" s="26"/>
      <c r="L21" s="34"/>
      <c r="M21" s="22">
        <f t="shared" si="5"/>
        <v>0</v>
      </c>
      <c r="N21" s="30">
        <f t="shared" si="6"/>
        <v>0</v>
      </c>
      <c r="O21" s="15"/>
      <c r="P21" s="36">
        <f t="shared" si="7"/>
        <v>0</v>
      </c>
    </row>
    <row r="22" spans="1:16" ht="94.2" thickBot="1" x14ac:dyDescent="0.3">
      <c r="A22" s="58" t="s">
        <v>55</v>
      </c>
      <c r="B22" s="57" t="s">
        <v>43</v>
      </c>
      <c r="C22" s="59"/>
      <c r="D22" s="39"/>
      <c r="E22" s="39" t="s">
        <v>45</v>
      </c>
      <c r="F22" s="16"/>
      <c r="G22" s="16"/>
      <c r="H22" s="15"/>
      <c r="I22" s="38">
        <f t="shared" si="4"/>
        <v>0</v>
      </c>
      <c r="J22" s="62"/>
      <c r="K22" s="26"/>
      <c r="L22" s="34"/>
      <c r="M22" s="22">
        <f t="shared" si="5"/>
        <v>0</v>
      </c>
      <c r="N22" s="30">
        <f t="shared" si="6"/>
        <v>0</v>
      </c>
      <c r="O22" s="15"/>
      <c r="P22" s="36">
        <f t="shared" si="7"/>
        <v>0</v>
      </c>
    </row>
    <row r="23" spans="1:16" ht="94.2" thickBot="1" x14ac:dyDescent="0.3">
      <c r="A23" s="58" t="s">
        <v>56</v>
      </c>
      <c r="B23" s="57" t="s">
        <v>43</v>
      </c>
      <c r="C23" s="59"/>
      <c r="D23" s="39"/>
      <c r="E23" s="39" t="s">
        <v>45</v>
      </c>
      <c r="F23" s="16"/>
      <c r="G23" s="16"/>
      <c r="H23" s="15"/>
      <c r="I23" s="38">
        <f t="shared" si="4"/>
        <v>0</v>
      </c>
      <c r="J23" s="62"/>
      <c r="K23" s="26"/>
      <c r="L23" s="34"/>
      <c r="M23" s="22">
        <f t="shared" si="5"/>
        <v>0</v>
      </c>
      <c r="N23" s="30">
        <f t="shared" si="6"/>
        <v>0</v>
      </c>
      <c r="O23" s="15"/>
      <c r="P23" s="36">
        <f t="shared" si="7"/>
        <v>0</v>
      </c>
    </row>
    <row r="24" spans="1:16" ht="94.2" thickBot="1" x14ac:dyDescent="0.3">
      <c r="A24" s="58" t="s">
        <v>57</v>
      </c>
      <c r="B24" s="57" t="s">
        <v>43</v>
      </c>
      <c r="C24" s="59"/>
      <c r="D24" s="39"/>
      <c r="E24" s="39" t="s">
        <v>45</v>
      </c>
      <c r="F24" s="16"/>
      <c r="G24" s="16"/>
      <c r="H24" s="15"/>
      <c r="I24" s="38">
        <f t="shared" si="4"/>
        <v>0</v>
      </c>
      <c r="J24" s="62"/>
      <c r="K24" s="26"/>
      <c r="L24" s="34"/>
      <c r="M24" s="22">
        <f t="shared" si="5"/>
        <v>0</v>
      </c>
      <c r="N24" s="30">
        <f t="shared" si="6"/>
        <v>0</v>
      </c>
      <c r="O24" s="15"/>
      <c r="P24" s="36">
        <f t="shared" si="7"/>
        <v>0</v>
      </c>
    </row>
    <row r="25" spans="1:16" ht="94.2" thickBot="1" x14ac:dyDescent="0.3">
      <c r="A25" s="58" t="s">
        <v>58</v>
      </c>
      <c r="B25" s="57" t="s">
        <v>43</v>
      </c>
      <c r="C25" s="59"/>
      <c r="D25" s="39"/>
      <c r="E25" s="39" t="s">
        <v>45</v>
      </c>
      <c r="F25" s="16"/>
      <c r="G25" s="16"/>
      <c r="H25" s="15"/>
      <c r="I25" s="38">
        <f t="shared" si="4"/>
        <v>0</v>
      </c>
      <c r="J25" s="62"/>
      <c r="K25" s="26"/>
      <c r="L25" s="34"/>
      <c r="M25" s="22">
        <f t="shared" si="5"/>
        <v>0</v>
      </c>
      <c r="N25" s="30">
        <f t="shared" si="6"/>
        <v>0</v>
      </c>
      <c r="O25" s="15"/>
      <c r="P25" s="36">
        <f t="shared" si="7"/>
        <v>0</v>
      </c>
    </row>
    <row r="26" spans="1:16" ht="94.2" thickBot="1" x14ac:dyDescent="0.3">
      <c r="A26" s="58" t="s">
        <v>59</v>
      </c>
      <c r="B26" s="57" t="s">
        <v>43</v>
      </c>
      <c r="C26" s="59"/>
      <c r="D26" s="39"/>
      <c r="E26" s="39" t="s">
        <v>45</v>
      </c>
      <c r="F26" s="16"/>
      <c r="G26" s="16"/>
      <c r="H26" s="15"/>
      <c r="I26" s="38">
        <f t="shared" si="4"/>
        <v>0</v>
      </c>
      <c r="J26" s="62"/>
      <c r="K26" s="26"/>
      <c r="L26" s="34"/>
      <c r="M26" s="22">
        <f t="shared" si="5"/>
        <v>0</v>
      </c>
      <c r="N26" s="30">
        <f t="shared" si="6"/>
        <v>0</v>
      </c>
      <c r="O26" s="15"/>
      <c r="P26" s="36">
        <f t="shared" si="7"/>
        <v>0</v>
      </c>
    </row>
    <row r="27" spans="1:16" ht="94.2" thickBot="1" x14ac:dyDescent="0.3">
      <c r="A27" s="58" t="s">
        <v>60</v>
      </c>
      <c r="B27" s="57" t="s">
        <v>43</v>
      </c>
      <c r="C27" s="59"/>
      <c r="D27" s="39"/>
      <c r="E27" s="39" t="s">
        <v>45</v>
      </c>
      <c r="F27" s="16"/>
      <c r="G27" s="16"/>
      <c r="H27" s="15"/>
      <c r="I27" s="38">
        <f t="shared" si="4"/>
        <v>0</v>
      </c>
      <c r="J27" s="62"/>
      <c r="K27" s="26"/>
      <c r="L27" s="34"/>
      <c r="M27" s="22">
        <f t="shared" si="5"/>
        <v>0</v>
      </c>
      <c r="N27" s="30">
        <f t="shared" si="6"/>
        <v>0</v>
      </c>
      <c r="O27" s="15"/>
      <c r="P27" s="36">
        <f t="shared" si="7"/>
        <v>0</v>
      </c>
    </row>
    <row r="28" spans="1:16" ht="94.2" thickBot="1" x14ac:dyDescent="0.3">
      <c r="A28" s="58" t="s">
        <v>61</v>
      </c>
      <c r="B28" s="57" t="s">
        <v>43</v>
      </c>
      <c r="C28" s="59"/>
      <c r="D28" s="39"/>
      <c r="E28" s="39" t="s">
        <v>45</v>
      </c>
      <c r="F28" s="16"/>
      <c r="G28" s="16"/>
      <c r="H28" s="15"/>
      <c r="I28" s="38">
        <f t="shared" si="4"/>
        <v>0</v>
      </c>
      <c r="J28" s="62"/>
      <c r="K28" s="26"/>
      <c r="L28" s="34"/>
      <c r="M28" s="22">
        <f t="shared" si="5"/>
        <v>0</v>
      </c>
      <c r="N28" s="30">
        <f t="shared" si="6"/>
        <v>0</v>
      </c>
      <c r="O28" s="15"/>
      <c r="P28" s="36">
        <f t="shared" si="7"/>
        <v>0</v>
      </c>
    </row>
    <row r="29" spans="1:16" ht="94.2" thickBot="1" x14ac:dyDescent="0.3">
      <c r="A29" s="58" t="s">
        <v>62</v>
      </c>
      <c r="B29" s="57" t="s">
        <v>43</v>
      </c>
      <c r="C29" s="59"/>
      <c r="D29" s="39"/>
      <c r="E29" s="39" t="s">
        <v>45</v>
      </c>
      <c r="F29" s="16"/>
      <c r="G29" s="16"/>
      <c r="H29" s="15"/>
      <c r="I29" s="38">
        <f t="shared" si="4"/>
        <v>0</v>
      </c>
      <c r="J29" s="62"/>
      <c r="K29" s="26"/>
      <c r="L29" s="34"/>
      <c r="M29" s="22">
        <f t="shared" si="5"/>
        <v>0</v>
      </c>
      <c r="N29" s="30">
        <f t="shared" si="6"/>
        <v>0</v>
      </c>
      <c r="O29" s="15"/>
      <c r="P29" s="36">
        <f t="shared" si="7"/>
        <v>0</v>
      </c>
    </row>
    <row r="30" spans="1:16" ht="94.2" thickBot="1" x14ac:dyDescent="0.3">
      <c r="A30" s="58" t="s">
        <v>63</v>
      </c>
      <c r="B30" s="57" t="s">
        <v>43</v>
      </c>
      <c r="C30" s="59"/>
      <c r="D30" s="39"/>
      <c r="E30" s="39" t="s">
        <v>45</v>
      </c>
      <c r="F30" s="16"/>
      <c r="G30" s="16"/>
      <c r="H30" s="15"/>
      <c r="I30" s="38">
        <f t="shared" si="4"/>
        <v>0</v>
      </c>
      <c r="J30" s="62"/>
      <c r="K30" s="26"/>
      <c r="L30" s="34"/>
      <c r="M30" s="22">
        <f t="shared" si="5"/>
        <v>0</v>
      </c>
      <c r="N30" s="30">
        <f t="shared" si="6"/>
        <v>0</v>
      </c>
      <c r="O30" s="15"/>
      <c r="P30" s="36">
        <f t="shared" si="7"/>
        <v>0</v>
      </c>
    </row>
    <row r="31" spans="1:16" ht="94.2" thickBot="1" x14ac:dyDescent="0.3">
      <c r="A31" s="58" t="s">
        <v>64</v>
      </c>
      <c r="B31" s="57" t="s">
        <v>43</v>
      </c>
      <c r="C31" s="59"/>
      <c r="D31" s="39"/>
      <c r="E31" s="39" t="s">
        <v>45</v>
      </c>
      <c r="F31" s="16"/>
      <c r="G31" s="16"/>
      <c r="H31" s="15"/>
      <c r="I31" s="38">
        <f t="shared" si="4"/>
        <v>0</v>
      </c>
      <c r="J31" s="62"/>
      <c r="K31" s="26"/>
      <c r="L31" s="34"/>
      <c r="M31" s="22">
        <f t="shared" si="5"/>
        <v>0</v>
      </c>
      <c r="N31" s="30">
        <f t="shared" si="6"/>
        <v>0</v>
      </c>
      <c r="O31" s="15"/>
      <c r="P31" s="36">
        <f t="shared" si="7"/>
        <v>0</v>
      </c>
    </row>
    <row r="32" spans="1:16" ht="15.75" customHeight="1" x14ac:dyDescent="0.3">
      <c r="A32" s="70" t="s">
        <v>29</v>
      </c>
      <c r="B32" s="71"/>
      <c r="C32" s="71"/>
      <c r="D32" s="71"/>
      <c r="E32" s="71"/>
      <c r="F32" s="71"/>
      <c r="G32" s="71"/>
      <c r="H32" s="72"/>
      <c r="I32" s="37">
        <f>SUM(I12:I12)</f>
        <v>0</v>
      </c>
    </row>
    <row r="33" spans="1:20" ht="15.75" customHeight="1" x14ac:dyDescent="0.3">
      <c r="A33" s="73" t="s">
        <v>26</v>
      </c>
      <c r="B33" s="74"/>
      <c r="C33" s="74"/>
      <c r="D33" s="74"/>
      <c r="E33" s="74"/>
      <c r="F33" s="74"/>
      <c r="G33" s="74"/>
      <c r="H33" s="75"/>
      <c r="I33" s="13">
        <f>I32*0.05</f>
        <v>0</v>
      </c>
      <c r="J33" s="63"/>
      <c r="N33" s="41"/>
    </row>
    <row r="34" spans="1:20" ht="25.5" customHeight="1" x14ac:dyDescent="0.3">
      <c r="A34" s="76" t="s">
        <v>27</v>
      </c>
      <c r="B34" s="77"/>
      <c r="C34" s="77"/>
      <c r="D34" s="77"/>
      <c r="E34" s="77"/>
      <c r="F34" s="77"/>
      <c r="G34" s="77"/>
      <c r="H34" s="78"/>
      <c r="I34" s="14">
        <f>SUM(I32:I33)</f>
        <v>0</v>
      </c>
      <c r="J34" s="63"/>
      <c r="N34" s="41"/>
    </row>
    <row r="35" spans="1:20" ht="18" x14ac:dyDescent="0.3">
      <c r="A35" s="49"/>
      <c r="B35" s="6"/>
      <c r="C35" s="6"/>
      <c r="D35" s="7"/>
      <c r="E35" s="7"/>
      <c r="F35" s="5"/>
      <c r="G35" s="5"/>
      <c r="H35" s="5"/>
      <c r="I35" s="50"/>
      <c r="J35" s="63"/>
      <c r="N35" s="41"/>
      <c r="O35" s="12"/>
      <c r="P35" s="42"/>
      <c r="Q35" s="12"/>
      <c r="R35" s="12"/>
      <c r="S35" s="12"/>
      <c r="T35" s="12"/>
    </row>
    <row r="36" spans="1:20" ht="26.1" customHeight="1" x14ac:dyDescent="0.3">
      <c r="A36" s="79" t="s">
        <v>3</v>
      </c>
      <c r="B36" s="80"/>
      <c r="C36" s="80"/>
      <c r="D36" s="80"/>
      <c r="E36" s="80"/>
      <c r="F36" s="80"/>
      <c r="G36" s="80"/>
      <c r="H36" s="80"/>
      <c r="I36" s="81"/>
      <c r="J36" s="63"/>
      <c r="N36" s="41"/>
      <c r="O36" s="12"/>
      <c r="P36" s="42"/>
      <c r="Q36" s="12"/>
      <c r="R36" s="12"/>
      <c r="S36" s="12"/>
      <c r="T36" s="12"/>
    </row>
    <row r="37" spans="1:20" ht="26.1" customHeight="1" x14ac:dyDescent="0.3">
      <c r="A37" s="10" t="s">
        <v>21</v>
      </c>
      <c r="B37" s="67"/>
      <c r="C37" s="68"/>
      <c r="D37" s="68"/>
      <c r="E37" s="68"/>
      <c r="F37" s="68"/>
      <c r="G37" s="68"/>
      <c r="H37" s="68"/>
      <c r="I37" s="69"/>
      <c r="J37" s="63"/>
      <c r="N37" s="41"/>
      <c r="O37" s="12"/>
      <c r="P37" s="42"/>
      <c r="Q37" s="12"/>
      <c r="R37" s="12"/>
      <c r="S37" s="12"/>
      <c r="T37" s="12"/>
    </row>
    <row r="38" spans="1:20" ht="26.1" customHeight="1" x14ac:dyDescent="0.3">
      <c r="A38" s="10" t="s">
        <v>8</v>
      </c>
      <c r="B38" s="67" t="s">
        <v>30</v>
      </c>
      <c r="C38" s="68"/>
      <c r="D38" s="68"/>
      <c r="E38" s="68"/>
      <c r="F38" s="68"/>
      <c r="G38" s="68"/>
      <c r="H38" s="68"/>
      <c r="I38" s="69"/>
      <c r="J38" s="63"/>
      <c r="N38" s="41"/>
      <c r="O38" s="12"/>
      <c r="P38" s="42"/>
      <c r="Q38" s="12"/>
      <c r="R38" s="12"/>
      <c r="S38" s="12"/>
      <c r="T38" s="12"/>
    </row>
    <row r="39" spans="1:20" ht="26.1" customHeight="1" x14ac:dyDescent="0.3">
      <c r="A39" s="10" t="s">
        <v>9</v>
      </c>
      <c r="B39" s="67" t="s">
        <v>40</v>
      </c>
      <c r="C39" s="68"/>
      <c r="D39" s="68"/>
      <c r="E39" s="68"/>
      <c r="F39" s="68"/>
      <c r="G39" s="68"/>
      <c r="H39" s="68"/>
      <c r="I39" s="69"/>
      <c r="J39" s="63"/>
      <c r="N39" s="41"/>
    </row>
    <row r="40" spans="1:20" ht="26.1" customHeight="1" x14ac:dyDescent="0.3">
      <c r="A40" s="10" t="s">
        <v>10</v>
      </c>
      <c r="B40" s="67" t="s">
        <v>31</v>
      </c>
      <c r="C40" s="68"/>
      <c r="D40" s="68"/>
      <c r="E40" s="68"/>
      <c r="F40" s="68"/>
      <c r="G40" s="68"/>
      <c r="H40" s="68"/>
      <c r="I40" s="69"/>
      <c r="J40" s="63"/>
      <c r="N40" s="41"/>
    </row>
    <row r="41" spans="1:20" x14ac:dyDescent="0.3">
      <c r="A41" s="51"/>
      <c r="I41" s="44"/>
      <c r="J41" s="63"/>
      <c r="N41" s="41"/>
    </row>
    <row r="42" spans="1:20" x14ac:dyDescent="0.3">
      <c r="A42" s="64" t="s">
        <v>13</v>
      </c>
      <c r="B42" s="65"/>
      <c r="C42" s="65"/>
      <c r="D42" s="65"/>
      <c r="E42" s="65"/>
      <c r="F42" s="65"/>
      <c r="G42" s="65"/>
      <c r="H42" s="65"/>
      <c r="I42" s="66"/>
      <c r="J42" s="63"/>
      <c r="N42" s="41"/>
    </row>
    <row r="43" spans="1:20" x14ac:dyDescent="0.3">
      <c r="A43" s="48"/>
      <c r="B43"/>
      <c r="C43"/>
      <c r="D43"/>
      <c r="E43"/>
      <c r="F43" s="46"/>
      <c r="G43" s="46"/>
      <c r="H43"/>
      <c r="I43" s="47"/>
      <c r="J43" s="63"/>
      <c r="N43" s="41"/>
    </row>
    <row r="44" spans="1:20" x14ac:dyDescent="0.3">
      <c r="A44" s="48" t="s">
        <v>14</v>
      </c>
      <c r="B44"/>
      <c r="C44"/>
      <c r="D44"/>
      <c r="E44"/>
      <c r="F44" s="46"/>
      <c r="G44" s="46"/>
      <c r="H44"/>
      <c r="I44" s="47"/>
      <c r="J44" s="63"/>
      <c r="N44" s="41"/>
    </row>
    <row r="45" spans="1:20" x14ac:dyDescent="0.3">
      <c r="A45" s="52"/>
      <c r="B45"/>
      <c r="C45"/>
      <c r="D45"/>
      <c r="E45"/>
      <c r="F45" s="46"/>
      <c r="G45" s="46"/>
      <c r="H45"/>
      <c r="I45" s="47"/>
      <c r="J45" s="63"/>
      <c r="N45" s="41"/>
    </row>
    <row r="46" spans="1:20" x14ac:dyDescent="0.3">
      <c r="A46" s="51"/>
      <c r="I46" s="44"/>
    </row>
    <row r="47" spans="1:20" x14ac:dyDescent="0.3">
      <c r="A47" s="53" t="s">
        <v>4</v>
      </c>
      <c r="B47" s="54"/>
      <c r="C47" s="54"/>
      <c r="D47" s="54"/>
      <c r="E47" s="54"/>
      <c r="F47" s="55"/>
      <c r="G47" s="55"/>
      <c r="H47" s="54"/>
      <c r="I47" s="56"/>
    </row>
    <row r="48" spans="1:20" x14ac:dyDescent="0.3">
      <c r="A48" s="3"/>
    </row>
    <row r="49" spans="1:1" x14ac:dyDescent="0.3">
      <c r="A49" s="3"/>
    </row>
    <row r="50" spans="1:1" x14ac:dyDescent="0.3">
      <c r="A50" s="2"/>
    </row>
  </sheetData>
  <mergeCells count="21">
    <mergeCell ref="B6:C6"/>
    <mergeCell ref="A1:I1"/>
    <mergeCell ref="E2:I2"/>
    <mergeCell ref="E3:I3"/>
    <mergeCell ref="E4:I4"/>
    <mergeCell ref="E5:I5"/>
    <mergeCell ref="E6:I6"/>
    <mergeCell ref="B2:C2"/>
    <mergeCell ref="B3:C3"/>
    <mergeCell ref="B4:C4"/>
    <mergeCell ref="B5:C5"/>
    <mergeCell ref="A9:I9"/>
    <mergeCell ref="A42:I42"/>
    <mergeCell ref="B37:I37"/>
    <mergeCell ref="B38:I38"/>
    <mergeCell ref="B39:I39"/>
    <mergeCell ref="B40:I40"/>
    <mergeCell ref="A32:H32"/>
    <mergeCell ref="A33:H33"/>
    <mergeCell ref="A34:H34"/>
    <mergeCell ref="A36:I36"/>
  </mergeCells>
  <phoneticPr fontId="14" type="noConversion"/>
  <printOptions horizontalCentered="1"/>
  <pageMargins left="0" right="0" top="0.9" bottom="0.88" header="0.118110236220472" footer="0.118110236220472"/>
  <pageSetup paperSize="9" scale="80" orientation="landscape" r:id="rId1"/>
  <headerFooter scaleWithDoc="0">
    <oddHeader>&amp;C&amp;"Arial Black,Bold"&amp;20&amp;G</oddHeader>
    <oddFooter>&amp;C&amp;G&amp;RPage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 (2)</vt:lpstr>
      <vt:lpstr>'Sheet1 (2)'!Print_Area</vt:lpstr>
      <vt:lpstr>'Sheet1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 Angsioco</dc:creator>
  <cp:lastModifiedBy>HP</cp:lastModifiedBy>
  <cp:lastPrinted>2024-06-29T11:15:19Z</cp:lastPrinted>
  <dcterms:created xsi:type="dcterms:W3CDTF">2013-02-13T15:36:31Z</dcterms:created>
  <dcterms:modified xsi:type="dcterms:W3CDTF">2025-08-25T12:56:31Z</dcterms:modified>
</cp:coreProperties>
</file>