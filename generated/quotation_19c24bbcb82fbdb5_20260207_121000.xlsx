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1800" windowHeight="13700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(2)'!$A$1:$I$98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FF0000"/>
      <sz val="14"/>
    </font>
    <font>
      <name val="Calibri"/>
      <b val="1"/>
      <color rgb="00FF0000"/>
      <sz val="16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77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10" fontId="0" fillId="7" borderId="19" applyAlignment="1" pivotButton="0" quotePrefix="0" xfId="0">
      <alignment horizontal="center" vertical="center" wrapText="1"/>
    </xf>
    <xf numFmtId="4" fontId="14" fillId="8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5" fillId="0" borderId="19" applyAlignment="1" pivotButton="0" quotePrefix="0" xfId="0">
      <alignment horizontal="center" vertical="center" wrapText="1"/>
    </xf>
    <xf numFmtId="0" fontId="16" fillId="9" borderId="19" applyAlignment="1" pivotButton="0" quotePrefix="0" xfId="0">
      <alignment horizontal="right" vertical="center"/>
    </xf>
    <xf numFmtId="0" fontId="0" fillId="9" borderId="19" pivotButton="0" quotePrefix="0" xfId="0"/>
    <xf numFmtId="4" fontId="16" fillId="9" borderId="19" applyAlignment="1" pivotButton="0" quotePrefix="0" xfId="0">
      <alignment horizontal="center" vertical="center" wrapText="1"/>
    </xf>
    <xf numFmtId="0" fontId="13" fillId="0" borderId="19" applyAlignment="1" pivotButton="0" quotePrefix="0" xfId="0">
      <alignment horizontal="left" vertical="center"/>
    </xf>
    <xf numFmtId="0" fontId="14" fillId="10" borderId="19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0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/>
    </xf>
    <xf numFmtId="0" fontId="17" fillId="0" borderId="23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 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96"/>
  <sheetViews>
    <sheetView tabSelected="1" view="pageBreakPreview" topLeftCell="A4" zoomScale="85" zoomScaleNormal="100" zoomScaleSheetLayoutView="85" workbookViewId="0">
      <selection activeCell="D21" sqref="D21"/>
    </sheetView>
  </sheetViews>
  <sheetFormatPr baseColWidth="10" defaultColWidth="9.1640625" defaultRowHeight="18"/>
  <cols>
    <col width="11.33203125" customWidth="1" style="2" min="1" max="1"/>
    <col width="50.6640625" customWidth="1" style="1" min="2" max="2"/>
    <col width="21.33203125" customWidth="1" style="1" min="3" max="3"/>
    <col width="24.5" customWidth="1" style="1" min="4" max="4"/>
    <col width="20.6640625" customWidth="1" style="1" min="5" max="5"/>
    <col width="10" customWidth="1" style="21" min="6" max="6"/>
    <col width="10.5" customWidth="1" style="21" min="7" max="7"/>
    <col width="13.1640625" customWidth="1" style="1" min="8" max="9"/>
    <col width="9.1640625" customWidth="1" style="28" min="10" max="10"/>
    <col width="10.5" bestFit="1" customWidth="1" style="12" min="11" max="11"/>
    <col width="9.1640625" customWidth="1" style="18" min="12" max="12"/>
    <col width="9.5" customWidth="1" style="8" min="13" max="13"/>
    <col width="11.5" bestFit="1" customWidth="1" style="15" min="14" max="14"/>
    <col width="9.1640625" customWidth="1" style="1" min="15" max="15"/>
    <col width="9.1640625" customWidth="1" style="20" min="16" max="16"/>
    <col width="9.16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Filter Astral Cantabric Collector Anssembly Co.No 15783R0200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" s="53" t="inlineStr"/>
      <c r="D12" s="53" t="n"/>
      <c r="E12" s="55" t="inlineStr">
        <is>
          <t>Ex stock, subject to prior sales.</t>
        </is>
      </c>
      <c r="F12" s="56" t="n">
        <v>1</v>
      </c>
      <c r="G12" s="57" t="inlineStr">
        <is>
          <t>Each</t>
        </is>
      </c>
      <c r="H12" s="56" t="n">
        <v>0</v>
      </c>
      <c r="I12" s="56">
        <f>F12*H12</f>
        <v/>
      </c>
      <c r="J12" s="53" t="n"/>
      <c r="K12" s="56" t="n">
        <v>0</v>
      </c>
      <c r="L12" s="58" t="n">
        <v>0</v>
      </c>
      <c r="M12" s="59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Pre-Rinse Shower Unit Sky (Plastic 250Mm,Made By Rdf Italy)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" s="53" t="inlineStr"/>
      <c r="D13" s="53" t="n"/>
      <c r="E13" s="55" t="inlineStr">
        <is>
          <t>Ex stock, subject to prior sales.</t>
        </is>
      </c>
      <c r="F13" s="56" t="n">
        <v>3</v>
      </c>
      <c r="G13" s="57" t="inlineStr">
        <is>
          <t>Each</t>
        </is>
      </c>
      <c r="H13" s="56" t="n">
        <v>0</v>
      </c>
      <c r="I13" s="56">
        <f>F13*H13</f>
        <v/>
      </c>
      <c r="J13" s="53" t="n"/>
      <c r="K13" s="56" t="n">
        <v>0</v>
      </c>
      <c r="L13" s="58" t="n">
        <v>0</v>
      </c>
      <c r="M13" s="59">
        <f>(N13-K13)*F13</f>
        <v/>
      </c>
      <c r="N13" s="56">
        <f>K13*(1+L13)</f>
        <v/>
      </c>
    </row>
    <row r="14" ht="140" customHeight="1">
      <c r="A14" s="53" t="n">
        <v>3</v>
      </c>
      <c r="B1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Wc Full Set P Trap Type Two Piece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4" s="53" t="inlineStr"/>
      <c r="D14" s="53" t="n"/>
      <c r="E14" s="55" t="inlineStr">
        <is>
          <t>Ex stock, subject to prior sales.</t>
        </is>
      </c>
      <c r="F14" s="56" t="n">
        <v>2</v>
      </c>
      <c r="G14" s="57" t="inlineStr">
        <is>
          <t>Each</t>
        </is>
      </c>
      <c r="H14" s="56" t="n">
        <v>0</v>
      </c>
      <c r="I14" s="56">
        <f>F14*H14</f>
        <v/>
      </c>
      <c r="J14" s="53" t="n"/>
      <c r="K14" s="56" t="n">
        <v>0</v>
      </c>
      <c r="L14" s="58" t="n">
        <v>0</v>
      </c>
      <c r="M14" s="59">
        <f>(N14-K14)*F14</f>
        <v/>
      </c>
      <c r="N14" s="56">
        <f>K14*(1+L14)</f>
        <v/>
      </c>
    </row>
    <row r="15" ht="140" customHeight="1">
      <c r="A15" s="53" t="n">
        <v>4</v>
      </c>
      <c r="B1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Automatic Water Level Controller (Code 49A002 For Press Mach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5" s="53" t="inlineStr"/>
      <c r="D15" s="53" t="n"/>
      <c r="E15" s="55" t="inlineStr">
        <is>
          <t>Ex stock, subject to prior sales.</t>
        </is>
      </c>
      <c r="F15" s="56" t="n">
        <v>5</v>
      </c>
      <c r="G15" s="57" t="inlineStr">
        <is>
          <t>Each</t>
        </is>
      </c>
      <c r="H15" s="56" t="n">
        <v>0</v>
      </c>
      <c r="I15" s="56">
        <f>F15*H15</f>
        <v/>
      </c>
      <c r="J15" s="53" t="n"/>
      <c r="K15" s="56" t="n">
        <v>0</v>
      </c>
      <c r="L15" s="58" t="n">
        <v>0</v>
      </c>
      <c r="M15" s="59">
        <f>(N15-K15)*F15</f>
        <v/>
      </c>
      <c r="N15" s="56">
        <f>K15*(1+L15)</f>
        <v/>
      </c>
    </row>
    <row r="16" ht="140" customHeight="1">
      <c r="A16" s="53" t="n">
        <v>5</v>
      </c>
      <c r="B1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Compressor AE4430Y - FZ1A R (134A Gas) LRA 11.5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6" s="53" t="inlineStr"/>
      <c r="D16" s="53" t="n"/>
      <c r="E16" s="55" t="inlineStr">
        <is>
          <t>Ex stock, subject to prior sales.</t>
        </is>
      </c>
      <c r="F16" s="56" t="n">
        <v>2</v>
      </c>
      <c r="G16" s="57" t="inlineStr">
        <is>
          <t>Each</t>
        </is>
      </c>
      <c r="H16" s="56" t="n">
        <v>0</v>
      </c>
      <c r="I16" s="56">
        <f>F16*H16</f>
        <v/>
      </c>
      <c r="J16" s="53" t="n"/>
      <c r="K16" s="56" t="n">
        <v>0</v>
      </c>
      <c r="L16" s="58" t="n">
        <v>0</v>
      </c>
      <c r="M16" s="59">
        <f>(N16-K16)*F16</f>
        <v/>
      </c>
      <c r="N16" s="56">
        <f>K16*(1+L16)</f>
        <v/>
      </c>
    </row>
    <row r="17" ht="140" customHeight="1">
      <c r="A17" s="53" t="n">
        <v>6</v>
      </c>
      <c r="B1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Compressor AE4430Z GS1A R404A LRA 14.5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7" s="53" t="inlineStr"/>
      <c r="D17" s="53" t="n"/>
      <c r="E17" s="55" t="inlineStr">
        <is>
          <t>Ex stock, subject to prior sales.</t>
        </is>
      </c>
      <c r="F17" s="56" t="n">
        <v>2</v>
      </c>
      <c r="G17" s="57" t="inlineStr">
        <is>
          <t>Each</t>
        </is>
      </c>
      <c r="H17" s="56" t="n">
        <v>0</v>
      </c>
      <c r="I17" s="56">
        <f>F17*H17</f>
        <v/>
      </c>
      <c r="J17" s="53" t="n"/>
      <c r="K17" s="56" t="n">
        <v>0</v>
      </c>
      <c r="L17" s="58" t="n">
        <v>0</v>
      </c>
      <c r="M17" s="59">
        <f>(N17-K17)*F17</f>
        <v/>
      </c>
      <c r="N17" s="56">
        <f>K17*(1+L17)</f>
        <v/>
      </c>
    </row>
    <row r="18" ht="140" customHeight="1">
      <c r="A18" s="53" t="n">
        <v>7</v>
      </c>
      <c r="B1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Compressor SC21CL R 404L 220-240V For Upright Chiller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8" s="53" t="inlineStr"/>
      <c r="D18" s="53" t="n"/>
      <c r="E18" s="55" t="inlineStr">
        <is>
          <t>Ex stock, subject to prior sales.</t>
        </is>
      </c>
      <c r="F18" s="56" t="n">
        <v>2</v>
      </c>
      <c r="G18" s="57" t="inlineStr">
        <is>
          <t>Each</t>
        </is>
      </c>
      <c r="H18" s="56" t="n">
        <v>0</v>
      </c>
      <c r="I18" s="56">
        <f>F18*H18</f>
        <v/>
      </c>
      <c r="J18" s="53" t="n"/>
      <c r="K18" s="56" t="n">
        <v>0</v>
      </c>
      <c r="L18" s="58" t="n">
        <v>0</v>
      </c>
      <c r="M18" s="59">
        <f>(N18-K18)*F18</f>
        <v/>
      </c>
      <c r="N18" s="56">
        <f>K18*(1+L18)</f>
        <v/>
      </c>
    </row>
    <row r="19" ht="140" customHeight="1">
      <c r="A19" s="53" t="n">
        <v>8</v>
      </c>
      <c r="B1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Gas Control Valve PEL21S CE0085 AQ0608 for Gas Stove Burner (Commercial Copper Cooker LPG Gas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9" s="53" t="inlineStr"/>
      <c r="D19" s="53" t="n"/>
      <c r="E19" s="55" t="inlineStr">
        <is>
          <t>Ex stock, subject to prior sales.</t>
        </is>
      </c>
      <c r="F19" s="56" t="n">
        <v>10</v>
      </c>
      <c r="G19" s="57" t="inlineStr">
        <is>
          <t>Each</t>
        </is>
      </c>
      <c r="H19" s="56" t="n">
        <v>0</v>
      </c>
      <c r="I19" s="56">
        <f>F19*H19</f>
        <v/>
      </c>
      <c r="J19" s="53" t="n"/>
      <c r="K19" s="56" t="n">
        <v>0</v>
      </c>
      <c r="L19" s="58" t="n">
        <v>0</v>
      </c>
      <c r="M19" s="59">
        <f>(N19-K19)*F19</f>
        <v/>
      </c>
      <c r="N19" s="56">
        <f>K19*(1+L19)</f>
        <v/>
      </c>
    </row>
    <row r="20" ht="140" customHeight="1">
      <c r="A20" s="53" t="n">
        <v>9</v>
      </c>
      <c r="B2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Water Level Control Gasket D5 6 Holes D12 - Model:Tornado A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0" s="53" t="inlineStr"/>
      <c r="D20" s="53" t="n"/>
      <c r="E20" s="55" t="inlineStr">
        <is>
          <t>Ex stock, subject to prior sales.</t>
        </is>
      </c>
      <c r="F20" s="56" t="n">
        <v>6</v>
      </c>
      <c r="G20" s="57" t="inlineStr">
        <is>
          <t>Each</t>
        </is>
      </c>
      <c r="H20" s="56" t="n">
        <v>0</v>
      </c>
      <c r="I20" s="56">
        <f>F20*H20</f>
        <v/>
      </c>
      <c r="J20" s="53" t="n"/>
      <c r="K20" s="56" t="n">
        <v>0</v>
      </c>
      <c r="L20" s="58" t="n">
        <v>0</v>
      </c>
      <c r="M20" s="59">
        <f>(N20-K20)*F20</f>
        <v/>
      </c>
      <c r="N20" s="56">
        <f>K20*(1+L20)</f>
        <v/>
      </c>
    </row>
    <row r="21" ht="140" customHeight="1">
      <c r="A21" s="53" t="n">
        <v>10</v>
      </c>
      <c r="B2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AC Outdoor Motor YDK55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1" s="53" t="inlineStr"/>
      <c r="D21" s="53" t="n"/>
      <c r="E21" s="55" t="inlineStr">
        <is>
          <t>Ex stock, subject to prior sales.</t>
        </is>
      </c>
      <c r="F21" s="56" t="n">
        <v>3</v>
      </c>
      <c r="G21" s="57" t="inlineStr">
        <is>
          <t>Each</t>
        </is>
      </c>
      <c r="H21" s="56" t="n">
        <v>0</v>
      </c>
      <c r="I21" s="56">
        <f>F21*H21</f>
        <v/>
      </c>
      <c r="J21" s="53" t="n"/>
      <c r="K21" s="56" t="n">
        <v>0</v>
      </c>
      <c r="L21" s="58" t="n">
        <v>0</v>
      </c>
      <c r="M21" s="59">
        <f>(N21-K21)*F21</f>
        <v/>
      </c>
      <c r="N21" s="56">
        <f>K21*(1+L21)</f>
        <v/>
      </c>
    </row>
    <row r="22" ht="140" customHeight="1">
      <c r="A22" s="53" t="n">
        <v>11</v>
      </c>
      <c r="B2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Black Tape 2Inch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2" s="53" t="inlineStr"/>
      <c r="D22" s="53" t="n"/>
      <c r="E22" s="55" t="inlineStr">
        <is>
          <t>Ex stock, subject to prior sales.</t>
        </is>
      </c>
      <c r="F22" s="56" t="n">
        <v>60</v>
      </c>
      <c r="G22" s="57" t="inlineStr">
        <is>
          <t>Each</t>
        </is>
      </c>
      <c r="H22" s="56" t="n">
        <v>0</v>
      </c>
      <c r="I22" s="56">
        <f>F22*H22</f>
        <v/>
      </c>
      <c r="J22" s="53" t="n"/>
      <c r="K22" s="56" t="n">
        <v>0</v>
      </c>
      <c r="L22" s="58" t="n">
        <v>0</v>
      </c>
      <c r="M22" s="59">
        <f>(N22-K22)*F22</f>
        <v/>
      </c>
      <c r="N22" s="56">
        <f>K22*(1+L22)</f>
        <v/>
      </c>
    </row>
    <row r="23" ht="140" customHeight="1">
      <c r="A23" s="53" t="n">
        <v>12</v>
      </c>
      <c r="B2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Gas R410A (Honeywell)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3" s="53" t="inlineStr"/>
      <c r="D23" s="53" t="n"/>
      <c r="E23" s="55" t="inlineStr">
        <is>
          <t>Ex stock, subject to prior sales.</t>
        </is>
      </c>
      <c r="F23" s="56" t="n">
        <v>5</v>
      </c>
      <c r="G23" s="57" t="inlineStr">
        <is>
          <t>Each</t>
        </is>
      </c>
      <c r="H23" s="56" t="n">
        <v>0</v>
      </c>
      <c r="I23" s="56">
        <f>F23*H23</f>
        <v/>
      </c>
      <c r="J23" s="53" t="n"/>
      <c r="K23" s="56" t="n">
        <v>0</v>
      </c>
      <c r="L23" s="58" t="n">
        <v>0</v>
      </c>
      <c r="M23" s="59">
        <f>(N23-K23)*F23</f>
        <v/>
      </c>
      <c r="N23" s="56">
        <f>K23*(1+L23)</f>
        <v/>
      </c>
    </row>
    <row r="24" ht="140" customHeight="1">
      <c r="A24" s="53" t="n">
        <v>13</v>
      </c>
      <c r="B2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R-407 C Gas Cylinder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4" s="53" t="inlineStr"/>
      <c r="D24" s="53" t="n"/>
      <c r="E24" s="55" t="inlineStr">
        <is>
          <t>Ex stock, subject to prior sales.</t>
        </is>
      </c>
      <c r="F24" s="56" t="n">
        <v>3</v>
      </c>
      <c r="G24" s="57" t="inlineStr">
        <is>
          <t>Each</t>
        </is>
      </c>
      <c r="H24" s="56" t="n">
        <v>0</v>
      </c>
      <c r="I24" s="56">
        <f>F24*H24</f>
        <v/>
      </c>
      <c r="J24" s="53" t="n"/>
      <c r="K24" s="56" t="n">
        <v>0</v>
      </c>
      <c r="L24" s="58" t="n">
        <v>0</v>
      </c>
      <c r="M24" s="59">
        <f>(N24-K24)*F24</f>
        <v/>
      </c>
      <c r="N24" s="56">
        <f>K24*(1+L24)</f>
        <v/>
      </c>
    </row>
    <row r="25" ht="140" customHeight="1">
      <c r="A25" s="53" t="n">
        <v>14</v>
      </c>
      <c r="B2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Spray Black Can (ABRO)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5" s="53" t="inlineStr"/>
      <c r="D25" s="53" t="n"/>
      <c r="E25" s="55" t="inlineStr">
        <is>
          <t>Ex stock, subject to prior sales.</t>
        </is>
      </c>
      <c r="F25" s="56" t="n">
        <v>72</v>
      </c>
      <c r="G25" s="57" t="inlineStr">
        <is>
          <t>Each</t>
        </is>
      </c>
      <c r="H25" s="56" t="n">
        <v>0</v>
      </c>
      <c r="I25" s="56">
        <f>F25*H25</f>
        <v/>
      </c>
      <c r="J25" s="53" t="n"/>
      <c r="K25" s="56" t="n">
        <v>0</v>
      </c>
      <c r="L25" s="58" t="n">
        <v>0</v>
      </c>
      <c r="M25" s="59">
        <f>(N25-K25)*F25</f>
        <v/>
      </c>
      <c r="N25" s="56">
        <f>K25*(1+L25)</f>
        <v/>
      </c>
    </row>
    <row r="26" ht="140" customHeight="1">
      <c r="A26" s="53" t="n">
        <v>15</v>
      </c>
      <c r="B2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Paper -Size P - 1000 - (Galaxy)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6" s="53" t="inlineStr"/>
      <c r="D26" s="53" t="n"/>
      <c r="E26" s="55" t="inlineStr">
        <is>
          <t>Ex stock, subject to prior sales.</t>
        </is>
      </c>
      <c r="F26" s="56" t="n">
        <v>50</v>
      </c>
      <c r="G26" s="57" t="inlineStr">
        <is>
          <t>Each</t>
        </is>
      </c>
      <c r="H26" s="56" t="n">
        <v>0</v>
      </c>
      <c r="I26" s="56">
        <f>F26*H26</f>
        <v/>
      </c>
      <c r="J26" s="53" t="n"/>
      <c r="K26" s="56" t="n">
        <v>0</v>
      </c>
      <c r="L26" s="58" t="n">
        <v>0</v>
      </c>
      <c r="M26" s="59">
        <f>(N26-K26)*F26</f>
        <v/>
      </c>
      <c r="N26" s="56">
        <f>K26*(1+L26)</f>
        <v/>
      </c>
    </row>
    <row r="27" ht="140" customHeight="1">
      <c r="A27" s="53" t="n">
        <v>16</v>
      </c>
      <c r="B2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paper -Size P - 600 - (Galaxy)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7" s="53" t="inlineStr"/>
      <c r="D27" s="53" t="n"/>
      <c r="E27" s="55" t="inlineStr">
        <is>
          <t>Ex stock, subject to prior sales.</t>
        </is>
      </c>
      <c r="F27" s="56" t="n">
        <v>50</v>
      </c>
      <c r="G27" s="57" t="inlineStr">
        <is>
          <t>Each</t>
        </is>
      </c>
      <c r="H27" s="56" t="n">
        <v>0</v>
      </c>
      <c r="I27" s="56">
        <f>F27*H27</f>
        <v/>
      </c>
      <c r="J27" s="53" t="n"/>
      <c r="K27" s="56" t="n">
        <v>0</v>
      </c>
      <c r="L27" s="58" t="n">
        <v>0</v>
      </c>
      <c r="M27" s="59">
        <f>(N27-K27)*F27</f>
        <v/>
      </c>
      <c r="N27" s="56">
        <f>K27*(1+L27)</f>
        <v/>
      </c>
    </row>
    <row r="28" ht="140" customHeight="1">
      <c r="A28" s="53" t="n">
        <v>17</v>
      </c>
      <c r="B2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Combination Plier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8" s="53" t="inlineStr"/>
      <c r="D28" s="53" t="n"/>
      <c r="E28" s="55" t="inlineStr">
        <is>
          <t>Ex stock, subject to prior sales.</t>
        </is>
      </c>
      <c r="F28" s="56" t="n">
        <v>12</v>
      </c>
      <c r="G28" s="57" t="inlineStr">
        <is>
          <t>Each</t>
        </is>
      </c>
      <c r="H28" s="56" t="n">
        <v>0</v>
      </c>
      <c r="I28" s="56">
        <f>F28*H28</f>
        <v/>
      </c>
      <c r="J28" s="53" t="n"/>
      <c r="K28" s="56" t="n">
        <v>0</v>
      </c>
      <c r="L28" s="58" t="n">
        <v>0</v>
      </c>
      <c r="M28" s="59">
        <f>(N28-K28)*F28</f>
        <v/>
      </c>
      <c r="N28" s="56">
        <f>K28*(1+L28)</f>
        <v/>
      </c>
    </row>
    <row r="29" ht="140" customHeight="1">
      <c r="A29" s="53" t="n">
        <v>18</v>
      </c>
      <c r="B2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Electrical Tester (Taparia 813 Yellow)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9" s="53" t="inlineStr"/>
      <c r="D29" s="53" t="n"/>
      <c r="E29" s="55" t="inlineStr">
        <is>
          <t>Ex stock, subject to prior sales.</t>
        </is>
      </c>
      <c r="F29" s="56" t="n">
        <v>24</v>
      </c>
      <c r="G29" s="57" t="inlineStr">
        <is>
          <t>Each</t>
        </is>
      </c>
      <c r="H29" s="56" t="n">
        <v>0</v>
      </c>
      <c r="I29" s="56">
        <f>F29*H29</f>
        <v/>
      </c>
      <c r="J29" s="53" t="n"/>
      <c r="K29" s="56" t="n">
        <v>0</v>
      </c>
      <c r="L29" s="58" t="n">
        <v>0</v>
      </c>
      <c r="M29" s="59">
        <f>(N29-K29)*F29</f>
        <v/>
      </c>
      <c r="N29" s="56">
        <f>K29*(1+L29)</f>
        <v/>
      </c>
    </row>
    <row r="30" ht="140" customHeight="1">
      <c r="A30" s="53" t="n">
        <v>19</v>
      </c>
      <c r="B3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Safety Goggles White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0" s="53" t="inlineStr"/>
      <c r="D30" s="53" t="n"/>
      <c r="E30" s="55" t="inlineStr">
        <is>
          <t>Ex stock, subject to prior sales.</t>
        </is>
      </c>
      <c r="F30" s="56" t="n">
        <v>50</v>
      </c>
      <c r="G30" s="57" t="inlineStr">
        <is>
          <t>Each</t>
        </is>
      </c>
      <c r="H30" s="56" t="n">
        <v>0</v>
      </c>
      <c r="I30" s="56">
        <f>F30*H30</f>
        <v/>
      </c>
      <c r="J30" s="53" t="n"/>
      <c r="K30" s="56" t="n">
        <v>0</v>
      </c>
      <c r="L30" s="58" t="n">
        <v>0</v>
      </c>
      <c r="M30" s="59">
        <f>(N30-K30)*F30</f>
        <v/>
      </c>
      <c r="N30" s="56">
        <f>K30*(1+L30)</f>
        <v/>
      </c>
    </row>
    <row r="31" ht="140" customHeight="1">
      <c r="A31" s="53" t="n">
        <v>20</v>
      </c>
      <c r="B3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Tape Measuring (Stanley) 5Mtr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1" s="53" t="inlineStr"/>
      <c r="D31" s="53" t="n"/>
      <c r="E31" s="55" t="inlineStr">
        <is>
          <t>Ex stock, subject to prior sales.</t>
        </is>
      </c>
      <c r="F31" s="56" t="n">
        <v>10</v>
      </c>
      <c r="G31" s="57" t="inlineStr">
        <is>
          <t>Each</t>
        </is>
      </c>
      <c r="H31" s="56" t="n">
        <v>0</v>
      </c>
      <c r="I31" s="56">
        <f>F31*H31</f>
        <v/>
      </c>
      <c r="J31" s="53" t="n"/>
      <c r="K31" s="56" t="n">
        <v>0</v>
      </c>
      <c r="L31" s="58" t="n">
        <v>0</v>
      </c>
      <c r="M31" s="59">
        <f>(N31-K31)*F31</f>
        <v/>
      </c>
      <c r="N31" s="56">
        <f>K31*(1+L31)</f>
        <v/>
      </c>
    </row>
    <row r="32" ht="140" customHeight="1">
      <c r="A32" s="53" t="n">
        <v>21</v>
      </c>
      <c r="B3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Brass Float Ball Valve 1inch 855(Peglar)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2" s="53" t="inlineStr"/>
      <c r="D32" s="53" t="n"/>
      <c r="E32" s="55" t="inlineStr">
        <is>
          <t>Ex stock, subject to prior sales.</t>
        </is>
      </c>
      <c r="F32" s="56" t="n">
        <v>10</v>
      </c>
      <c r="G32" s="57" t="inlineStr">
        <is>
          <t>Each</t>
        </is>
      </c>
      <c r="H32" s="56" t="n">
        <v>0</v>
      </c>
      <c r="I32" s="56">
        <f>F32*H32</f>
        <v/>
      </c>
      <c r="J32" s="53" t="n"/>
      <c r="K32" s="56" t="n">
        <v>0</v>
      </c>
      <c r="L32" s="58" t="n">
        <v>0</v>
      </c>
      <c r="M32" s="59">
        <f>(N32-K32)*F32</f>
        <v/>
      </c>
      <c r="N32" s="56">
        <f>K32*(1+L32)</f>
        <v/>
      </c>
    </row>
    <row r="33" ht="140" customHeight="1">
      <c r="A33" s="53" t="n">
        <v>22</v>
      </c>
      <c r="B3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Pool Vaccum Head M.No HD 70 Certikin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3" s="53" t="inlineStr"/>
      <c r="D33" s="53" t="n"/>
      <c r="E33" s="55" t="inlineStr">
        <is>
          <t>Ex stock, subject to prior sales.</t>
        </is>
      </c>
      <c r="F33" s="56" t="n">
        <v>10</v>
      </c>
      <c r="G33" s="57" t="inlineStr">
        <is>
          <t>Each</t>
        </is>
      </c>
      <c r="H33" s="56" t="n">
        <v>0</v>
      </c>
      <c r="I33" s="56">
        <f>F33*H33</f>
        <v/>
      </c>
      <c r="J33" s="53" t="n"/>
      <c r="K33" s="56" t="n">
        <v>0</v>
      </c>
      <c r="L33" s="58" t="n">
        <v>0</v>
      </c>
      <c r="M33" s="59">
        <f>(N33-K33)*F33</f>
        <v/>
      </c>
      <c r="N33" s="56">
        <f>K33*(1+L33)</f>
        <v/>
      </c>
    </row>
    <row r="34" ht="140" customHeight="1">
      <c r="A34" s="53" t="n">
        <v>23</v>
      </c>
      <c r="B3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S/Pool Stick length: 3Mtrs (Aluminium Telescopic Pole)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4" s="53" t="inlineStr"/>
      <c r="D34" s="53" t="n"/>
      <c r="E34" s="55" t="inlineStr">
        <is>
          <t>Ex stock, subject to prior sales.</t>
        </is>
      </c>
      <c r="F34" s="56" t="n">
        <v>5</v>
      </c>
      <c r="G34" s="57" t="inlineStr">
        <is>
          <t>Each</t>
        </is>
      </c>
      <c r="H34" s="56" t="n">
        <v>0</v>
      </c>
      <c r="I34" s="56">
        <f>F34*H34</f>
        <v/>
      </c>
      <c r="J34" s="53" t="n"/>
      <c r="K34" s="56" t="n">
        <v>0</v>
      </c>
      <c r="L34" s="58" t="n">
        <v>0</v>
      </c>
      <c r="M34" s="59">
        <f>(N34-K34)*F34</f>
        <v/>
      </c>
      <c r="N34" s="56">
        <f>K34*(1+L34)</f>
        <v/>
      </c>
    </row>
    <row r="35" ht="140" customHeight="1">
      <c r="A35" s="53" t="n">
        <v>24</v>
      </c>
      <c r="B3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Filter Astral Pools (big) Code 15784-0100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5" s="53" t="inlineStr"/>
      <c r="D35" s="53" t="n"/>
      <c r="E35" s="55" t="inlineStr">
        <is>
          <t>Ex stock, subject to prior sales.</t>
        </is>
      </c>
      <c r="F35" s="56" t="n">
        <v>1</v>
      </c>
      <c r="G35" s="57" t="inlineStr">
        <is>
          <t>Each</t>
        </is>
      </c>
      <c r="H35" s="56" t="n">
        <v>0</v>
      </c>
      <c r="I35" s="56">
        <f>F35*H35</f>
        <v/>
      </c>
      <c r="J35" s="53" t="n"/>
      <c r="K35" s="56" t="n">
        <v>0</v>
      </c>
      <c r="L35" s="58" t="n">
        <v>0</v>
      </c>
      <c r="M35" s="59">
        <f>(N35-K35)*F35</f>
        <v/>
      </c>
      <c r="N35" s="56">
        <f>K35*(1+L35)</f>
        <v/>
      </c>
    </row>
    <row r="36" ht="140" customHeight="1">
      <c r="A36" s="53" t="n">
        <v>25</v>
      </c>
      <c r="B3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STP Hydrated Lime 25 Kg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6" s="53" t="inlineStr"/>
      <c r="D36" s="53" t="n"/>
      <c r="E36" s="55" t="inlineStr">
        <is>
          <t>Ex stock, subject to prior sales.</t>
        </is>
      </c>
      <c r="F36" s="56" t="n">
        <v>10</v>
      </c>
      <c r="G36" s="57" t="inlineStr">
        <is>
          <t>Each</t>
        </is>
      </c>
      <c r="H36" s="56" t="n">
        <v>0</v>
      </c>
      <c r="I36" s="56">
        <f>F36*H36</f>
        <v/>
      </c>
      <c r="J36" s="53" t="n"/>
      <c r="K36" s="56" t="n">
        <v>0</v>
      </c>
      <c r="L36" s="58" t="n">
        <v>0</v>
      </c>
      <c r="M36" s="59">
        <f>(N36-K36)*F36</f>
        <v/>
      </c>
      <c r="N36" s="56">
        <f>K36*(1+L36)</f>
        <v/>
      </c>
    </row>
    <row r="37" ht="140" customHeight="1">
      <c r="A37" s="53" t="n">
        <v>26</v>
      </c>
      <c r="B3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Submersible Pump (Brand :Pedrollo Top Multi 2) 0.75HP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7" s="53" t="inlineStr"/>
      <c r="D37" s="53" t="n"/>
      <c r="E37" s="55" t="inlineStr">
        <is>
          <t>Ex stock, subject to prior sales.</t>
        </is>
      </c>
      <c r="F37" s="56" t="n">
        <v>3</v>
      </c>
      <c r="G37" s="57" t="inlineStr">
        <is>
          <t>Each</t>
        </is>
      </c>
      <c r="H37" s="56" t="n">
        <v>0</v>
      </c>
      <c r="I37" s="56">
        <f>F37*H37</f>
        <v/>
      </c>
      <c r="J37" s="53" t="n"/>
      <c r="K37" s="56" t="n">
        <v>0</v>
      </c>
      <c r="L37" s="58" t="n">
        <v>0</v>
      </c>
      <c r="M37" s="59">
        <f>(N37-K37)*F37</f>
        <v/>
      </c>
      <c r="N37" s="56">
        <f>K37*(1+L37)</f>
        <v/>
      </c>
    </row>
    <row r="38" ht="140" customHeight="1">
      <c r="A38" s="53" t="n">
        <v>27</v>
      </c>
      <c r="B3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Concrete Nail 1" Black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8" s="53" t="inlineStr"/>
      <c r="D38" s="53" t="n"/>
      <c r="E38" s="55" t="inlineStr">
        <is>
          <t>Ex stock, subject to prior sales.</t>
        </is>
      </c>
      <c r="F38" s="56" t="n">
        <v>10</v>
      </c>
      <c r="G38" s="57" t="inlineStr">
        <is>
          <t>Each</t>
        </is>
      </c>
      <c r="H38" s="56" t="n">
        <v>0</v>
      </c>
      <c r="I38" s="56">
        <f>F38*H38</f>
        <v/>
      </c>
      <c r="J38" s="53" t="n"/>
      <c r="K38" s="56" t="n">
        <v>0</v>
      </c>
      <c r="L38" s="58" t="n">
        <v>0</v>
      </c>
      <c r="M38" s="59">
        <f>(N38-K38)*F38</f>
        <v/>
      </c>
      <c r="N38" s="56">
        <f>K38*(1+L38)</f>
        <v/>
      </c>
    </row>
    <row r="39" ht="140" customHeight="1">
      <c r="A39" s="53" t="n">
        <v>28</v>
      </c>
      <c r="B3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Door Closer YALE - DCR-1824FR(2122) Silver Colour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9" s="53" t="inlineStr"/>
      <c r="D39" s="53" t="n"/>
      <c r="E39" s="55" t="inlineStr">
        <is>
          <t>Ex stock, subject to prior sales.</t>
        </is>
      </c>
      <c r="F39" s="56" t="n">
        <v>6</v>
      </c>
      <c r="G39" s="57" t="inlineStr">
        <is>
          <t>Each</t>
        </is>
      </c>
      <c r="H39" s="56" t="n">
        <v>0</v>
      </c>
      <c r="I39" s="56">
        <f>F39*H39</f>
        <v/>
      </c>
      <c r="J39" s="53" t="n"/>
      <c r="K39" s="56" t="n">
        <v>0</v>
      </c>
      <c r="L39" s="58" t="n">
        <v>0</v>
      </c>
      <c r="M39" s="59">
        <f>(N39-K39)*F39</f>
        <v/>
      </c>
      <c r="N39" s="56">
        <f>K39*(1+L39)</f>
        <v/>
      </c>
    </row>
    <row r="40" ht="140" customHeight="1">
      <c r="A40" s="53" t="n">
        <v>29</v>
      </c>
      <c r="B4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Panel Pins 3/4 inch x 17 (Pkt)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0" s="53" t="inlineStr"/>
      <c r="D40" s="53" t="n"/>
      <c r="E40" s="55" t="inlineStr">
        <is>
          <t>Ex stock, subject to prior sales.</t>
        </is>
      </c>
      <c r="F40" s="56" t="n">
        <v>10</v>
      </c>
      <c r="G40" s="57" t="inlineStr">
        <is>
          <t>Each</t>
        </is>
      </c>
      <c r="H40" s="56" t="n">
        <v>0</v>
      </c>
      <c r="I40" s="56">
        <f>F40*H40</f>
        <v/>
      </c>
      <c r="J40" s="53" t="n"/>
      <c r="K40" s="56" t="n">
        <v>0</v>
      </c>
      <c r="L40" s="58" t="n">
        <v>0</v>
      </c>
      <c r="M40" s="59">
        <f>(N40-K40)*F40</f>
        <v/>
      </c>
      <c r="N40" s="56">
        <f>K40*(1+L40)</f>
        <v/>
      </c>
    </row>
    <row r="41" ht="140" customHeight="1">
      <c r="A41" s="53" t="n">
        <v>30</v>
      </c>
      <c r="B4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Privacy Screen Roll - Grenn Color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1" s="53" t="inlineStr"/>
      <c r="D41" s="53" t="n"/>
      <c r="E41" s="55" t="inlineStr">
        <is>
          <t>Ex stock, subject to prior sales.</t>
        </is>
      </c>
      <c r="F41" s="56" t="n">
        <v>3</v>
      </c>
      <c r="G41" s="57" t="inlineStr">
        <is>
          <t>Each</t>
        </is>
      </c>
      <c r="H41" s="56" t="n">
        <v>0</v>
      </c>
      <c r="I41" s="56">
        <f>F41*H41</f>
        <v/>
      </c>
      <c r="J41" s="53" t="n"/>
      <c r="K41" s="56" t="n">
        <v>0</v>
      </c>
      <c r="L41" s="58" t="n">
        <v>0</v>
      </c>
      <c r="M41" s="59">
        <f>(N41-K41)*F41</f>
        <v/>
      </c>
      <c r="N41" s="56">
        <f>K41*(1+L41)</f>
        <v/>
      </c>
    </row>
    <row r="42" ht="140" customHeight="1">
      <c r="A42" s="53" t="n">
        <v>31</v>
      </c>
      <c r="B4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Screw 1 inch x No.8 (Box) Tuf Fix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2" s="53" t="inlineStr"/>
      <c r="D42" s="53" t="n"/>
      <c r="E42" s="55" t="inlineStr">
        <is>
          <t>Ex stock, subject to prior sales.</t>
        </is>
      </c>
      <c r="F42" s="56" t="n">
        <v>10</v>
      </c>
      <c r="G42" s="57" t="inlineStr">
        <is>
          <t>Each</t>
        </is>
      </c>
      <c r="H42" s="56" t="n">
        <v>0</v>
      </c>
      <c r="I42" s="56">
        <f>F42*H42</f>
        <v/>
      </c>
      <c r="J42" s="53" t="n"/>
      <c r="K42" s="56" t="n">
        <v>0</v>
      </c>
      <c r="L42" s="58" t="n">
        <v>0</v>
      </c>
      <c r="M42" s="59">
        <f>(N42-K42)*F42</f>
        <v/>
      </c>
      <c r="N42" s="56">
        <f>K42*(1+L42)</f>
        <v/>
      </c>
    </row>
    <row r="43" ht="140" customHeight="1">
      <c r="A43" s="53" t="n">
        <v>32</v>
      </c>
      <c r="B4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Screws 1 1/2" X No. 8 (Box) Tuf Fix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3" s="53" t="inlineStr"/>
      <c r="D43" s="53" t="n"/>
      <c r="E43" s="55" t="inlineStr">
        <is>
          <t>Ex stock, subject to prior sales.</t>
        </is>
      </c>
      <c r="F43" s="56" t="n">
        <v>15</v>
      </c>
      <c r="G43" s="57" t="inlineStr">
        <is>
          <t>Each</t>
        </is>
      </c>
      <c r="H43" s="56" t="n">
        <v>0</v>
      </c>
      <c r="I43" s="56">
        <f>F43*H43</f>
        <v/>
      </c>
      <c r="J43" s="53" t="n"/>
      <c r="K43" s="56" t="n">
        <v>0</v>
      </c>
      <c r="L43" s="58" t="n">
        <v>0</v>
      </c>
      <c r="M43" s="59">
        <f>(N43-K43)*F43</f>
        <v/>
      </c>
      <c r="N43" s="56">
        <f>K43*(1+L43)</f>
        <v/>
      </c>
    </row>
    <row r="44" ht="140" customHeight="1">
      <c r="A44" s="53" t="n">
        <v>33</v>
      </c>
      <c r="B4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4 Feet LED Tube Light 10w Daylight 240v 50/60Hz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4" s="53" t="inlineStr"/>
      <c r="D44" s="53" t="n"/>
      <c r="E44" s="55" t="inlineStr">
        <is>
          <t>Ex stock, subject to prior sales.</t>
        </is>
      </c>
      <c r="F44" s="56" t="n">
        <v>25</v>
      </c>
      <c r="G44" s="57" t="inlineStr">
        <is>
          <t>Each</t>
        </is>
      </c>
      <c r="H44" s="56" t="n">
        <v>0</v>
      </c>
      <c r="I44" s="56">
        <f>F44*H44</f>
        <v/>
      </c>
      <c r="J44" s="53" t="n"/>
      <c r="K44" s="56" t="n">
        <v>0</v>
      </c>
      <c r="L44" s="58" t="n">
        <v>0</v>
      </c>
      <c r="M44" s="59">
        <f>(N44-K44)*F44</f>
        <v/>
      </c>
      <c r="N44" s="56">
        <f>K44*(1+L44)</f>
        <v/>
      </c>
    </row>
    <row r="45" ht="140" customHeight="1">
      <c r="A45" s="53" t="n">
        <v>34</v>
      </c>
      <c r="B4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Double Tube Light Fitting With Cover 4"(Selex)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5" s="53" t="inlineStr"/>
      <c r="D45" s="53" t="n"/>
      <c r="E45" s="55" t="inlineStr">
        <is>
          <t>Ex stock, subject to prior sales.</t>
        </is>
      </c>
      <c r="F45" s="56" t="n">
        <v>6</v>
      </c>
      <c r="G45" s="57" t="inlineStr">
        <is>
          <t>Each</t>
        </is>
      </c>
      <c r="H45" s="56" t="n">
        <v>0</v>
      </c>
      <c r="I45" s="56">
        <f>F45*H45</f>
        <v/>
      </c>
      <c r="J45" s="53" t="n"/>
      <c r="K45" s="56" t="n">
        <v>0</v>
      </c>
      <c r="L45" s="58" t="n">
        <v>0</v>
      </c>
      <c r="M45" s="59">
        <f>(N45-K45)*F45</f>
        <v/>
      </c>
      <c r="N45" s="56">
        <f>K45*(1+L45)</f>
        <v/>
      </c>
    </row>
    <row r="46" ht="140" customHeight="1">
      <c r="A46" s="53" t="n">
        <v>35</v>
      </c>
      <c r="B4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Flourescent Day Light Tube 4ft(Philips) TL-D 36W54-765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6" s="53" t="inlineStr"/>
      <c r="D46" s="53" t="n"/>
      <c r="E46" s="55" t="inlineStr">
        <is>
          <t>Ex stock, subject to prior sales.</t>
        </is>
      </c>
      <c r="F46" s="56" t="n">
        <v>25</v>
      </c>
      <c r="G46" s="57" t="inlineStr">
        <is>
          <t>Each</t>
        </is>
      </c>
      <c r="H46" s="56" t="n">
        <v>0</v>
      </c>
      <c r="I46" s="56">
        <f>F46*H46</f>
        <v/>
      </c>
      <c r="J46" s="53" t="n"/>
      <c r="K46" s="56" t="n">
        <v>0</v>
      </c>
      <c r="L46" s="58" t="n">
        <v>0</v>
      </c>
      <c r="M46" s="59">
        <f>(N46-K46)*F46</f>
        <v/>
      </c>
      <c r="N46" s="56">
        <f>K46*(1+L46)</f>
        <v/>
      </c>
    </row>
    <row r="47" ht="140" customHeight="1">
      <c r="A47" s="53" t="n">
        <v>36</v>
      </c>
      <c r="B4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Starter S10P (Philips)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7" s="53" t="inlineStr"/>
      <c r="D47" s="53" t="n"/>
      <c r="E47" s="55" t="inlineStr">
        <is>
          <t>Ex stock, subject to prior sales.</t>
        </is>
      </c>
      <c r="F47" s="56" t="n">
        <v>25</v>
      </c>
      <c r="G47" s="57" t="inlineStr">
        <is>
          <t>Each</t>
        </is>
      </c>
      <c r="H47" s="56" t="n">
        <v>0</v>
      </c>
      <c r="I47" s="56">
        <f>F47*H47</f>
        <v/>
      </c>
      <c r="J47" s="53" t="n"/>
      <c r="K47" s="56" t="n">
        <v>0</v>
      </c>
      <c r="L47" s="58" t="n">
        <v>0</v>
      </c>
      <c r="M47" s="59">
        <f>(N47-K47)*F47</f>
        <v/>
      </c>
      <c r="N47" s="56">
        <f>K47*(1+L47)</f>
        <v/>
      </c>
    </row>
    <row r="48" ht="140" customHeight="1">
      <c r="A48" s="53" t="n">
        <v>37</v>
      </c>
      <c r="B4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Starter S2 (Philips)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8" s="53" t="inlineStr"/>
      <c r="D48" s="53" t="n"/>
      <c r="E48" s="55" t="inlineStr">
        <is>
          <t>Ex stock, subject to prior sales.</t>
        </is>
      </c>
      <c r="F48" s="56" t="n">
        <v>25</v>
      </c>
      <c r="G48" s="57" t="inlineStr">
        <is>
          <t>Each</t>
        </is>
      </c>
      <c r="H48" s="56" t="n">
        <v>0</v>
      </c>
      <c r="I48" s="56">
        <f>F48*H48</f>
        <v/>
      </c>
      <c r="J48" s="53" t="n"/>
      <c r="K48" s="56" t="n">
        <v>0</v>
      </c>
      <c r="L48" s="58" t="n">
        <v>0</v>
      </c>
      <c r="M48" s="59">
        <f>(N48-K48)*F48</f>
        <v/>
      </c>
      <c r="N48" s="56">
        <f>K48*(1+L48)</f>
        <v/>
      </c>
    </row>
    <row r="49" ht="140" customHeight="1">
      <c r="A49" s="53" t="n">
        <v>38</v>
      </c>
      <c r="B4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Battery Oprated Somke Detector Brand - Andeli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9" s="53" t="inlineStr"/>
      <c r="D49" s="53" t="n"/>
      <c r="E49" s="55" t="inlineStr">
        <is>
          <t>Ex stock, subject to prior sales.</t>
        </is>
      </c>
      <c r="F49" s="56" t="n">
        <v>30</v>
      </c>
      <c r="G49" s="57" t="inlineStr">
        <is>
          <t>Each</t>
        </is>
      </c>
      <c r="H49" s="56" t="n">
        <v>0</v>
      </c>
      <c r="I49" s="56">
        <f>F49*H49</f>
        <v/>
      </c>
      <c r="J49" s="53" t="n"/>
      <c r="K49" s="56" t="n">
        <v>0</v>
      </c>
      <c r="L49" s="58" t="n">
        <v>0</v>
      </c>
      <c r="M49" s="59">
        <f>(N49-K49)*F49</f>
        <v/>
      </c>
      <c r="N49" s="56">
        <f>K49*(1+L49)</f>
        <v/>
      </c>
    </row>
    <row r="50" ht="140" customHeight="1">
      <c r="A50" s="53" t="n">
        <v>39</v>
      </c>
      <c r="B5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Fire Hydrant Cap ( Bs Instantaneous Male Blank Cap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0" s="53" t="inlineStr"/>
      <c r="D50" s="53" t="n"/>
      <c r="E50" s="55" t="inlineStr">
        <is>
          <t>Ex stock, subject to prior sales.</t>
        </is>
      </c>
      <c r="F50" s="56" t="n">
        <v>10</v>
      </c>
      <c r="G50" s="57" t="inlineStr">
        <is>
          <t>Each</t>
        </is>
      </c>
      <c r="H50" s="56" t="n">
        <v>0</v>
      </c>
      <c r="I50" s="56">
        <f>F50*H50</f>
        <v/>
      </c>
      <c r="J50" s="53" t="n"/>
      <c r="K50" s="56" t="n">
        <v>0</v>
      </c>
      <c r="L50" s="58" t="n">
        <v>0</v>
      </c>
      <c r="M50" s="59">
        <f>(N50-K50)*F50</f>
        <v/>
      </c>
      <c r="N50" s="56">
        <f>K50*(1+L50)</f>
        <v/>
      </c>
    </row>
    <row r="51" ht="140" customHeight="1">
      <c r="A51" s="53" t="n">
        <v>40</v>
      </c>
      <c r="B5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AA Ordinary Battery Energizer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1" s="53" t="inlineStr"/>
      <c r="D51" s="53" t="n"/>
      <c r="E51" s="55" t="inlineStr">
        <is>
          <t>Ex stock, subject to prior sales.</t>
        </is>
      </c>
      <c r="F51" s="56" t="n">
        <v>200</v>
      </c>
      <c r="G51" s="57" t="inlineStr">
        <is>
          <t>Each</t>
        </is>
      </c>
      <c r="H51" s="56" t="n">
        <v>0</v>
      </c>
      <c r="I51" s="56">
        <f>F51*H51</f>
        <v/>
      </c>
      <c r="J51" s="53" t="n"/>
      <c r="K51" s="56" t="n">
        <v>0</v>
      </c>
      <c r="L51" s="58" t="n">
        <v>0</v>
      </c>
      <c r="M51" s="59">
        <f>(N51-K51)*F51</f>
        <v/>
      </c>
      <c r="N51" s="56">
        <f>K51*(1+L51)</f>
        <v/>
      </c>
    </row>
    <row r="52" ht="140" customHeight="1">
      <c r="A52" s="53" t="n">
        <v>41</v>
      </c>
      <c r="B5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AAA Ordinary Battery Energizer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2" s="53" t="inlineStr"/>
      <c r="D52" s="53" t="n"/>
      <c r="E52" s="55" t="inlineStr">
        <is>
          <t>Ex stock, subject to prior sales.</t>
        </is>
      </c>
      <c r="F52" s="56" t="n">
        <v>400</v>
      </c>
      <c r="G52" s="57" t="inlineStr">
        <is>
          <t>Each</t>
        </is>
      </c>
      <c r="H52" s="56" t="n">
        <v>0</v>
      </c>
      <c r="I52" s="56">
        <f>F52*H52</f>
        <v/>
      </c>
      <c r="J52" s="53" t="n"/>
      <c r="K52" s="56" t="n">
        <v>0</v>
      </c>
      <c r="L52" s="58" t="n">
        <v>0</v>
      </c>
      <c r="M52" s="59">
        <f>(N52-K52)*F52</f>
        <v/>
      </c>
      <c r="N52" s="56">
        <f>K52*(1+L52)</f>
        <v/>
      </c>
    </row>
    <row r="53" ht="140" customHeight="1">
      <c r="A53" s="53" t="n">
        <v>42</v>
      </c>
      <c r="B5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Disposable Coveralls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3" s="53" t="inlineStr"/>
      <c r="D53" s="53" t="n"/>
      <c r="E53" s="55" t="inlineStr">
        <is>
          <t>Ex stock, subject to prior sales.</t>
        </is>
      </c>
      <c r="F53" s="56" t="n">
        <v>12</v>
      </c>
      <c r="G53" s="57" t="inlineStr">
        <is>
          <t>Each</t>
        </is>
      </c>
      <c r="H53" s="56" t="n">
        <v>0</v>
      </c>
      <c r="I53" s="56">
        <f>F53*H53</f>
        <v/>
      </c>
      <c r="J53" s="53" t="n"/>
      <c r="K53" s="56" t="n">
        <v>0</v>
      </c>
      <c r="L53" s="58" t="n">
        <v>0</v>
      </c>
      <c r="M53" s="59">
        <f>(N53-K53)*F53</f>
        <v/>
      </c>
      <c r="N53" s="56">
        <f>K53*(1+L53)</f>
        <v/>
      </c>
    </row>
    <row r="54" ht="140" customHeight="1">
      <c r="A54" s="53" t="n">
        <v>43</v>
      </c>
      <c r="B5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Dust Mask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4" s="53" t="inlineStr"/>
      <c r="D54" s="53" t="n"/>
      <c r="E54" s="55" t="inlineStr">
        <is>
          <t>Ex stock, subject to prior sales.</t>
        </is>
      </c>
      <c r="F54" s="56" t="n">
        <v>20</v>
      </c>
      <c r="G54" s="57" t="inlineStr">
        <is>
          <t>Each</t>
        </is>
      </c>
      <c r="H54" s="56" t="n">
        <v>0</v>
      </c>
      <c r="I54" s="56">
        <f>F54*H54</f>
        <v/>
      </c>
      <c r="J54" s="53" t="n"/>
      <c r="K54" s="56" t="n">
        <v>0</v>
      </c>
      <c r="L54" s="58" t="n">
        <v>0</v>
      </c>
      <c r="M54" s="59">
        <f>(N54-K54)*F54</f>
        <v/>
      </c>
      <c r="N54" s="56">
        <f>K54*(1+L54)</f>
        <v/>
      </c>
    </row>
    <row r="55" ht="140" customHeight="1">
      <c r="A55" s="53" t="n">
        <v>44</v>
      </c>
      <c r="B5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Hand Gloves Blue Cotton Medium Dotted Vaultex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5" s="53" t="inlineStr"/>
      <c r="D55" s="53" t="n"/>
      <c r="E55" s="55" t="inlineStr">
        <is>
          <t>Ex stock, subject to prior sales.</t>
        </is>
      </c>
      <c r="F55" s="56" t="n">
        <v>20</v>
      </c>
      <c r="G55" s="57" t="inlineStr">
        <is>
          <t>Each</t>
        </is>
      </c>
      <c r="H55" s="56" t="n">
        <v>0</v>
      </c>
      <c r="I55" s="56">
        <f>F55*H55</f>
        <v/>
      </c>
      <c r="J55" s="53" t="n"/>
      <c r="K55" s="56" t="n">
        <v>0</v>
      </c>
      <c r="L55" s="58" t="n">
        <v>0</v>
      </c>
      <c r="M55" s="59">
        <f>(N55-K55)*F55</f>
        <v/>
      </c>
      <c r="N55" s="56">
        <f>K55*(1+L55)</f>
        <v/>
      </c>
    </row>
    <row r="56" ht="140" customHeight="1">
      <c r="A56" s="53" t="n">
        <v>45</v>
      </c>
      <c r="B5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Rubber Bush (Bottle Trap) 2" x 1 1/2"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6" s="53" t="inlineStr"/>
      <c r="D56" s="53" t="n"/>
      <c r="E56" s="55" t="inlineStr">
        <is>
          <t>Ex stock, subject to prior sales.</t>
        </is>
      </c>
      <c r="F56" s="56" t="n">
        <v>10</v>
      </c>
      <c r="G56" s="57" t="inlineStr">
        <is>
          <t>Each</t>
        </is>
      </c>
      <c r="H56" s="56" t="n">
        <v>0</v>
      </c>
      <c r="I56" s="56">
        <f>F56*H56</f>
        <v/>
      </c>
      <c r="J56" s="53" t="n"/>
      <c r="K56" s="56" t="n">
        <v>0</v>
      </c>
      <c r="L56" s="58" t="n">
        <v>0</v>
      </c>
      <c r="M56" s="59">
        <f>(N56-K56)*F56</f>
        <v/>
      </c>
      <c r="N56" s="56">
        <f>K56*(1+L56)</f>
        <v/>
      </c>
    </row>
    <row r="57" ht="140" customHeight="1">
      <c r="A57" s="53" t="n">
        <v>46</v>
      </c>
      <c r="B5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Wall Scrapper 3Inch (Hyde)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7" s="53" t="inlineStr"/>
      <c r="D57" s="53" t="n"/>
      <c r="E57" s="55" t="inlineStr">
        <is>
          <t>Ex stock, subject to prior sales.</t>
        </is>
      </c>
      <c r="F57" s="56" t="n">
        <v>12</v>
      </c>
      <c r="G57" s="57" t="inlineStr">
        <is>
          <t>Each</t>
        </is>
      </c>
      <c r="H57" s="56" t="n">
        <v>0</v>
      </c>
      <c r="I57" s="56">
        <f>F57*H57</f>
        <v/>
      </c>
      <c r="J57" s="53" t="n"/>
      <c r="K57" s="56" t="n">
        <v>0</v>
      </c>
      <c r="L57" s="58" t="n">
        <v>0</v>
      </c>
      <c r="M57" s="59">
        <f>(N57-K57)*F57</f>
        <v/>
      </c>
      <c r="N57" s="56">
        <f>K57*(1+L57)</f>
        <v/>
      </c>
    </row>
    <row r="58" ht="140" customHeight="1">
      <c r="A58" s="53" t="n">
        <v>47</v>
      </c>
      <c r="B5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WD-40 (400 ml)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8" s="53" t="inlineStr"/>
      <c r="D58" s="53" t="n"/>
      <c r="E58" s="55" t="inlineStr">
        <is>
          <t>Ex stock, subject to prior sales.</t>
        </is>
      </c>
      <c r="F58" s="56" t="n">
        <v>24</v>
      </c>
      <c r="G58" s="57" t="inlineStr">
        <is>
          <t>Each</t>
        </is>
      </c>
      <c r="H58" s="56" t="n">
        <v>0</v>
      </c>
      <c r="I58" s="56">
        <f>F58*H58</f>
        <v/>
      </c>
      <c r="J58" s="53" t="n"/>
      <c r="K58" s="56" t="n">
        <v>0</v>
      </c>
      <c r="L58" s="58" t="n">
        <v>0</v>
      </c>
      <c r="M58" s="59">
        <f>(N58-K58)*F58</f>
        <v/>
      </c>
      <c r="N58" s="56">
        <f>K58*(1+L58)</f>
        <v/>
      </c>
    </row>
    <row r="59" ht="140" customHeight="1">
      <c r="A59" s="53" t="n">
        <v>48</v>
      </c>
      <c r="B5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Wire Brush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9" s="53" t="inlineStr"/>
      <c r="D59" s="53" t="n"/>
      <c r="E59" s="55" t="inlineStr">
        <is>
          <t>Ex stock, subject to prior sales.</t>
        </is>
      </c>
      <c r="F59" s="56" t="n">
        <v>12</v>
      </c>
      <c r="G59" s="57" t="inlineStr">
        <is>
          <t>Each</t>
        </is>
      </c>
      <c r="H59" s="56" t="n">
        <v>0</v>
      </c>
      <c r="I59" s="56">
        <f>F59*H59</f>
        <v/>
      </c>
      <c r="J59" s="53" t="n"/>
      <c r="K59" s="56" t="n">
        <v>0</v>
      </c>
      <c r="L59" s="58" t="n">
        <v>0</v>
      </c>
      <c r="M59" s="59">
        <f>(N59-K59)*F59</f>
        <v/>
      </c>
      <c r="N59" s="56">
        <f>K59*(1+L59)</f>
        <v/>
      </c>
    </row>
    <row r="60" ht="140" customHeight="1">
      <c r="A60" s="53" t="n">
        <v>49</v>
      </c>
      <c r="B6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Wire Lug (Ring Type) 6Mm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0" s="53" t="inlineStr"/>
      <c r="D60" s="53" t="n"/>
      <c r="E60" s="55" t="inlineStr">
        <is>
          <t>Ex stock, subject to prior sales.</t>
        </is>
      </c>
      <c r="F60" s="56" t="n">
        <v>200</v>
      </c>
      <c r="G60" s="57" t="inlineStr">
        <is>
          <t>Each</t>
        </is>
      </c>
      <c r="H60" s="56" t="n">
        <v>0</v>
      </c>
      <c r="I60" s="56">
        <f>F60*H60</f>
        <v/>
      </c>
      <c r="J60" s="53" t="n"/>
      <c r="K60" s="56" t="n">
        <v>0</v>
      </c>
      <c r="L60" s="58" t="n">
        <v>0</v>
      </c>
      <c r="M60" s="59">
        <f>(N60-K60)*F60</f>
        <v/>
      </c>
      <c r="N60" s="56">
        <f>K60*(1+L60)</f>
        <v/>
      </c>
    </row>
    <row r="61" ht="140" customHeight="1">
      <c r="A61" s="53" t="n">
        <v>50</v>
      </c>
      <c r="B6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50L Water Heater Milano - Horizontal Made Italy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1" s="53" t="inlineStr"/>
      <c r="D61" s="53" t="n"/>
      <c r="E61" s="55" t="inlineStr">
        <is>
          <t>Ex stock, subject to prior sales.</t>
        </is>
      </c>
      <c r="F61" s="56" t="n">
        <v>10</v>
      </c>
      <c r="G61" s="57" t="inlineStr">
        <is>
          <t>Each</t>
        </is>
      </c>
      <c r="H61" s="56" t="n">
        <v>0</v>
      </c>
      <c r="I61" s="56">
        <f>F61*H61</f>
        <v/>
      </c>
      <c r="J61" s="53" t="n"/>
      <c r="K61" s="56" t="n">
        <v>0</v>
      </c>
      <c r="L61" s="58" t="n">
        <v>0</v>
      </c>
      <c r="M61" s="59">
        <f>(N61-K61)*F61</f>
        <v/>
      </c>
      <c r="N61" s="56">
        <f>K61*(1+L61)</f>
        <v/>
      </c>
    </row>
    <row r="62" ht="140" customHeight="1">
      <c r="A62" s="53" t="n">
        <v>51</v>
      </c>
      <c r="B6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Bath Shower Mixer F23000C (Tredex)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2" s="53" t="inlineStr"/>
      <c r="D62" s="53" t="n"/>
      <c r="E62" s="55" t="inlineStr">
        <is>
          <t>Ex stock, subject to prior sales.</t>
        </is>
      </c>
      <c r="F62" s="56" t="n">
        <v>3</v>
      </c>
      <c r="G62" s="57" t="inlineStr">
        <is>
          <t>Each</t>
        </is>
      </c>
      <c r="H62" s="56" t="n">
        <v>0</v>
      </c>
      <c r="I62" s="56">
        <f>F62*H62</f>
        <v/>
      </c>
      <c r="J62" s="53" t="n"/>
      <c r="K62" s="56" t="n">
        <v>0</v>
      </c>
      <c r="L62" s="58" t="n">
        <v>0</v>
      </c>
      <c r="M62" s="59">
        <f>(N62-K62)*F62</f>
        <v/>
      </c>
      <c r="N62" s="56">
        <f>K62*(1+L62)</f>
        <v/>
      </c>
    </row>
    <row r="63" ht="140" customHeight="1">
      <c r="A63" s="53" t="n">
        <v>52</v>
      </c>
      <c r="B6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Chrome Nipple 10mm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3" s="53" t="inlineStr"/>
      <c r="D63" s="53" t="n"/>
      <c r="E63" s="55" t="inlineStr">
        <is>
          <t>Ex stock, subject to prior sales.</t>
        </is>
      </c>
      <c r="F63" s="56" t="n">
        <v>20</v>
      </c>
      <c r="G63" s="57" t="inlineStr">
        <is>
          <t>Each</t>
        </is>
      </c>
      <c r="H63" s="56" t="n">
        <v>0</v>
      </c>
      <c r="I63" s="56">
        <f>F63*H63</f>
        <v/>
      </c>
      <c r="J63" s="53" t="n"/>
      <c r="K63" s="56" t="n">
        <v>0</v>
      </c>
      <c r="L63" s="58" t="n">
        <v>0</v>
      </c>
      <c r="M63" s="59">
        <f>(N63-K63)*F63</f>
        <v/>
      </c>
      <c r="N63" s="56">
        <f>K63*(1+L63)</f>
        <v/>
      </c>
    </row>
    <row r="64" ht="140" customHeight="1">
      <c r="A64" s="53" t="n">
        <v>53</v>
      </c>
      <c r="B6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Chrome Nipple 15Mm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4" s="53" t="inlineStr"/>
      <c r="D64" s="53" t="n"/>
      <c r="E64" s="55" t="inlineStr">
        <is>
          <t>Ex stock, subject to prior sales.</t>
        </is>
      </c>
      <c r="F64" s="56" t="n">
        <v>20</v>
      </c>
      <c r="G64" s="57" t="inlineStr">
        <is>
          <t>Each</t>
        </is>
      </c>
      <c r="H64" s="56" t="n">
        <v>0</v>
      </c>
      <c r="I64" s="56">
        <f>F64*H64</f>
        <v/>
      </c>
      <c r="J64" s="53" t="n"/>
      <c r="K64" s="56" t="n">
        <v>0</v>
      </c>
      <c r="L64" s="58" t="n">
        <v>0</v>
      </c>
      <c r="M64" s="59">
        <f>(N64-K64)*F64</f>
        <v/>
      </c>
      <c r="N64" s="56">
        <f>K64*(1+L64)</f>
        <v/>
      </c>
    </row>
    <row r="65" ht="140" customHeight="1">
      <c r="A65" s="53" t="n">
        <v>54</v>
      </c>
      <c r="B6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Chrome Nipple 20Mm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5" s="53" t="inlineStr"/>
      <c r="D65" s="53" t="n"/>
      <c r="E65" s="55" t="inlineStr">
        <is>
          <t>Ex stock, subject to prior sales.</t>
        </is>
      </c>
      <c r="F65" s="56" t="n">
        <v>20</v>
      </c>
      <c r="G65" s="57" t="inlineStr">
        <is>
          <t>Each</t>
        </is>
      </c>
      <c r="H65" s="56" t="n">
        <v>0</v>
      </c>
      <c r="I65" s="56">
        <f>F65*H65</f>
        <v/>
      </c>
      <c r="J65" s="53" t="n"/>
      <c r="K65" s="56" t="n">
        <v>0</v>
      </c>
      <c r="L65" s="58" t="n">
        <v>0</v>
      </c>
      <c r="M65" s="59">
        <f>(N65-K65)*F65</f>
        <v/>
      </c>
      <c r="N65" s="56">
        <f>K65*(1+L65)</f>
        <v/>
      </c>
    </row>
    <row r="66" ht="140" customHeight="1">
      <c r="A66" s="53" t="n">
        <v>55</v>
      </c>
      <c r="B6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Gasket Shellac 59ml (Btl)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6" s="53" t="inlineStr"/>
      <c r="D66" s="53" t="n"/>
      <c r="E66" s="55" t="inlineStr">
        <is>
          <t>Ex stock, subject to prior sales.</t>
        </is>
      </c>
      <c r="F66" s="56" t="n">
        <v>20</v>
      </c>
      <c r="G66" s="57" t="inlineStr">
        <is>
          <t>Each</t>
        </is>
      </c>
      <c r="H66" s="56" t="n">
        <v>0</v>
      </c>
      <c r="I66" s="56">
        <f>F66*H66</f>
        <v/>
      </c>
      <c r="J66" s="53" t="n"/>
      <c r="K66" s="56" t="n">
        <v>0</v>
      </c>
      <c r="L66" s="58" t="n">
        <v>0</v>
      </c>
      <c r="M66" s="59">
        <f>(N66-K66)*F66</f>
        <v/>
      </c>
      <c r="N66" s="56">
        <f>K66*(1+L66)</f>
        <v/>
      </c>
    </row>
    <row r="67" ht="140" customHeight="1">
      <c r="A67" s="53" t="n">
        <v>56</v>
      </c>
      <c r="B6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Hand Shower Head (for Host Aera)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7" s="53" t="inlineStr"/>
      <c r="D67" s="53" t="n"/>
      <c r="E67" s="55" t="inlineStr">
        <is>
          <t>Ex stock, subject to prior sales.</t>
        </is>
      </c>
      <c r="F67" s="56" t="n">
        <v>10</v>
      </c>
      <c r="G67" s="57" t="inlineStr">
        <is>
          <t>Each</t>
        </is>
      </c>
      <c r="H67" s="56" t="n">
        <v>0</v>
      </c>
      <c r="I67" s="56">
        <f>F67*H67</f>
        <v/>
      </c>
      <c r="J67" s="53" t="n"/>
      <c r="K67" s="56" t="n">
        <v>0</v>
      </c>
      <c r="L67" s="58" t="n">
        <v>0</v>
      </c>
      <c r="M67" s="59">
        <f>(N67-K67)*F67</f>
        <v/>
      </c>
      <c r="N67" s="56">
        <f>K67*(1+L67)</f>
        <v/>
      </c>
    </row>
    <row r="68" ht="140" customHeight="1">
      <c r="A68" s="53" t="n">
        <v>57</v>
      </c>
      <c r="B6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 Seal (Pidilite)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8" s="53" t="inlineStr"/>
      <c r="D68" s="53" t="n"/>
      <c r="E68" s="55" t="inlineStr">
        <is>
          <t>Ex stock, subject to prior sales.</t>
        </is>
      </c>
      <c r="F68" s="56" t="n">
        <v>36</v>
      </c>
      <c r="G68" s="57" t="inlineStr">
        <is>
          <t>Each</t>
        </is>
      </c>
      <c r="H68" s="56" t="n">
        <v>0</v>
      </c>
      <c r="I68" s="56">
        <f>F68*H68</f>
        <v/>
      </c>
      <c r="J68" s="53" t="n"/>
      <c r="K68" s="56" t="n">
        <v>0</v>
      </c>
      <c r="L68" s="58" t="n">
        <v>0</v>
      </c>
      <c r="M68" s="59">
        <f>(N68-K68)*F68</f>
        <v/>
      </c>
      <c r="N68" s="56">
        <f>K68*(1+L68)</f>
        <v/>
      </c>
    </row>
    <row r="69" ht="140" customHeight="1">
      <c r="A69" s="53" t="n">
        <v>58</v>
      </c>
      <c r="B6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Wash Basin Mixer Taps (Model:33265001) Grohe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9" s="53" t="inlineStr"/>
      <c r="D69" s="53" t="n"/>
      <c r="E69" s="55" t="inlineStr">
        <is>
          <t>Ex stock, subject to prior sales.</t>
        </is>
      </c>
      <c r="F69" s="56" t="n">
        <v>5</v>
      </c>
      <c r="G69" s="57" t="inlineStr">
        <is>
          <t>Each</t>
        </is>
      </c>
      <c r="H69" s="56" t="n">
        <v>0</v>
      </c>
      <c r="I69" s="56">
        <f>F69*H69</f>
        <v/>
      </c>
      <c r="J69" s="53" t="n"/>
      <c r="K69" s="56" t="n">
        <v>0</v>
      </c>
      <c r="L69" s="58" t="n">
        <v>0</v>
      </c>
      <c r="M69" s="59">
        <f>(N69-K69)*F69</f>
        <v/>
      </c>
      <c r="N69" s="56">
        <f>K69*(1+L69)</f>
        <v/>
      </c>
    </row>
    <row r="70" ht="140" customHeight="1">
      <c r="A70" s="53" t="n">
        <v>59</v>
      </c>
      <c r="B7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Wc Hand Shower Brand Daniel (Model:Dan 1000Zsr)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0" s="53" t="inlineStr"/>
      <c r="D70" s="53" t="n"/>
      <c r="E70" s="55" t="inlineStr">
        <is>
          <t>Ex stock, subject to prior sales.</t>
        </is>
      </c>
      <c r="F70" s="56" t="n">
        <v>15</v>
      </c>
      <c r="G70" s="57" t="inlineStr">
        <is>
          <t>Each</t>
        </is>
      </c>
      <c r="H70" s="56" t="n">
        <v>0</v>
      </c>
      <c r="I70" s="56">
        <f>F70*H70</f>
        <v/>
      </c>
      <c r="J70" s="53" t="n"/>
      <c r="K70" s="56" t="n">
        <v>0</v>
      </c>
      <c r="L70" s="58" t="n">
        <v>0</v>
      </c>
      <c r="M70" s="59">
        <f>(N70-K70)*F70</f>
        <v/>
      </c>
      <c r="N70" s="56">
        <f>K70*(1+L70)</f>
        <v/>
      </c>
    </row>
    <row r="71" ht="140" customHeight="1">
      <c r="A71" s="53" t="n">
        <v>60</v>
      </c>
      <c r="B7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Aluminium Rake Sticks Long 5 feet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1" s="53" t="inlineStr"/>
      <c r="D71" s="53" t="n"/>
      <c r="E71" s="55" t="inlineStr">
        <is>
          <t>Ex stock, subject to prior sales.</t>
        </is>
      </c>
      <c r="F71" s="56" t="n">
        <v>30</v>
      </c>
      <c r="G71" s="57" t="inlineStr">
        <is>
          <t>Each</t>
        </is>
      </c>
      <c r="H71" s="56" t="n">
        <v>0</v>
      </c>
      <c r="I71" s="56">
        <f>F71*H71</f>
        <v/>
      </c>
      <c r="J71" s="53" t="n"/>
      <c r="K71" s="56" t="n">
        <v>0</v>
      </c>
      <c r="L71" s="58" t="n">
        <v>0</v>
      </c>
      <c r="M71" s="59">
        <f>(N71-K71)*F71</f>
        <v/>
      </c>
      <c r="N71" s="56">
        <f>K71*(1+L71)</f>
        <v/>
      </c>
    </row>
    <row r="72" ht="140" customHeight="1">
      <c r="A72" s="53" t="n">
        <v>61</v>
      </c>
      <c r="B7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Coconut Fiber Block 30cm x 30cm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2" s="53" t="inlineStr"/>
      <c r="D72" s="53" t="n"/>
      <c r="E72" s="55" t="inlineStr">
        <is>
          <t>Ex stock, subject to prior sales.</t>
        </is>
      </c>
      <c r="F72" s="56" t="n">
        <v>20</v>
      </c>
      <c r="G72" s="57" t="inlineStr">
        <is>
          <t>Each</t>
        </is>
      </c>
      <c r="H72" s="56" t="n">
        <v>0</v>
      </c>
      <c r="I72" s="56">
        <f>F72*H72</f>
        <v/>
      </c>
      <c r="J72" s="53" t="n"/>
      <c r="K72" s="56" t="n">
        <v>0</v>
      </c>
      <c r="L72" s="58" t="n">
        <v>0</v>
      </c>
      <c r="M72" s="59">
        <f>(N72-K72)*F72</f>
        <v/>
      </c>
      <c r="N72" s="56">
        <f>K72*(1+L72)</f>
        <v/>
      </c>
    </row>
    <row r="73" ht="140" customHeight="1">
      <c r="A73" s="53" t="n">
        <v>62</v>
      </c>
      <c r="B7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Garden Saw (Samurai)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3" s="53" t="inlineStr"/>
      <c r="D73" s="53" t="n"/>
      <c r="E73" s="55" t="inlineStr">
        <is>
          <t>Ex stock, subject to prior sales.</t>
        </is>
      </c>
      <c r="F73" s="56" t="n">
        <v>20</v>
      </c>
      <c r="G73" s="57" t="inlineStr">
        <is>
          <t>Each</t>
        </is>
      </c>
      <c r="H73" s="56" t="n">
        <v>0</v>
      </c>
      <c r="I73" s="56">
        <f>F73*H73</f>
        <v/>
      </c>
      <c r="J73" s="53" t="n"/>
      <c r="K73" s="56" t="n">
        <v>0</v>
      </c>
      <c r="L73" s="58" t="n">
        <v>0</v>
      </c>
      <c r="M73" s="59">
        <f>(N73-K73)*F73</f>
        <v/>
      </c>
      <c r="N73" s="56">
        <f>K73*(1+L73)</f>
        <v/>
      </c>
    </row>
    <row r="74" ht="140" customHeight="1">
      <c r="A74" s="53" t="n">
        <v>63</v>
      </c>
      <c r="B7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Garden Shovel (Protech)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4" s="53" t="inlineStr"/>
      <c r="D74" s="53" t="n"/>
      <c r="E74" s="55" t="inlineStr">
        <is>
          <t>Ex stock, subject to prior sales.</t>
        </is>
      </c>
      <c r="F74" s="56" t="n">
        <v>3</v>
      </c>
      <c r="G74" s="57" t="inlineStr">
        <is>
          <t>Each</t>
        </is>
      </c>
      <c r="H74" s="56" t="n">
        <v>0</v>
      </c>
      <c r="I74" s="56">
        <f>F74*H74</f>
        <v/>
      </c>
      <c r="J74" s="53" t="n"/>
      <c r="K74" s="56" t="n">
        <v>0</v>
      </c>
      <c r="L74" s="58" t="n">
        <v>0</v>
      </c>
      <c r="M74" s="59">
        <f>(N74-K74)*F74</f>
        <v/>
      </c>
      <c r="N74" s="56">
        <f>K74*(1+L74)</f>
        <v/>
      </c>
    </row>
    <row r="75" ht="140" customHeight="1">
      <c r="A75" s="53" t="n">
        <v>64</v>
      </c>
      <c r="B7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Neem Guard (Shalimar Bio Tec)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5" s="53" t="inlineStr"/>
      <c r="D75" s="53" t="n"/>
      <c r="E75" s="55" t="inlineStr">
        <is>
          <t>Ex stock, subject to prior sales.</t>
        </is>
      </c>
      <c r="F75" s="56" t="n">
        <v>2</v>
      </c>
      <c r="G75" s="57" t="inlineStr">
        <is>
          <t>Each</t>
        </is>
      </c>
      <c r="H75" s="56" t="n">
        <v>0</v>
      </c>
      <c r="I75" s="56">
        <f>F75*H75</f>
        <v/>
      </c>
      <c r="J75" s="53" t="n"/>
      <c r="K75" s="56" t="n">
        <v>0</v>
      </c>
      <c r="L75" s="58" t="n">
        <v>0</v>
      </c>
      <c r="M75" s="59">
        <f>(N75-K75)*F75</f>
        <v/>
      </c>
      <c r="N75" s="56">
        <f>K75*(1+L75)</f>
        <v/>
      </c>
    </row>
    <row r="76" ht="140" customHeight="1">
      <c r="A76" s="53" t="n">
        <v>65</v>
      </c>
      <c r="B7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Peat Moss - 20 Kg Bag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6" s="53" t="inlineStr"/>
      <c r="D76" s="53" t="n"/>
      <c r="E76" s="55" t="inlineStr">
        <is>
          <t>Ex stock, subject to prior sales.</t>
        </is>
      </c>
      <c r="F76" s="56" t="n">
        <v>5</v>
      </c>
      <c r="G76" s="57" t="inlineStr">
        <is>
          <t>Each</t>
        </is>
      </c>
      <c r="H76" s="56" t="n">
        <v>0</v>
      </c>
      <c r="I76" s="56">
        <f>F76*H76</f>
        <v/>
      </c>
      <c r="J76" s="53" t="n"/>
      <c r="K76" s="56" t="n">
        <v>0</v>
      </c>
      <c r="L76" s="58" t="n">
        <v>0</v>
      </c>
      <c r="M76" s="59">
        <f>(N76-K76)*F76</f>
        <v/>
      </c>
      <c r="N76" s="56">
        <f>K76*(1+L76)</f>
        <v/>
      </c>
    </row>
    <row r="77" ht="140" customHeight="1">
      <c r="A77" s="53" t="n">
        <v>66</v>
      </c>
      <c r="B7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Plastic Rake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7" s="53" t="inlineStr"/>
      <c r="D77" s="53" t="n"/>
      <c r="E77" s="55" t="inlineStr">
        <is>
          <t>Ex stock, subject to prior sales.</t>
        </is>
      </c>
      <c r="F77" s="56" t="n">
        <v>30</v>
      </c>
      <c r="G77" s="57" t="inlineStr">
        <is>
          <t>Each</t>
        </is>
      </c>
      <c r="H77" s="56" t="n">
        <v>0</v>
      </c>
      <c r="I77" s="56">
        <f>F77*H77</f>
        <v/>
      </c>
      <c r="J77" s="53" t="n"/>
      <c r="K77" s="56" t="n">
        <v>0</v>
      </c>
      <c r="L77" s="58" t="n">
        <v>0</v>
      </c>
      <c r="M77" s="59">
        <f>(N77-K77)*F77</f>
        <v/>
      </c>
      <c r="N77" s="56">
        <f>K77*(1+L77)</f>
        <v/>
      </c>
    </row>
    <row r="78" ht="140" customHeight="1">
      <c r="A78" s="53" t="n">
        <v>67</v>
      </c>
      <c r="B7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Sickles (Round Type Garden Saw)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8" s="53" t="inlineStr"/>
      <c r="D78" s="53" t="n"/>
      <c r="E78" s="55" t="inlineStr">
        <is>
          <t>Ex stock, subject to prior sales.</t>
        </is>
      </c>
      <c r="F78" s="56" t="n">
        <v>24</v>
      </c>
      <c r="G78" s="57" t="inlineStr">
        <is>
          <t>Each</t>
        </is>
      </c>
      <c r="H78" s="56" t="n">
        <v>0</v>
      </c>
      <c r="I78" s="56">
        <f>F78*H78</f>
        <v/>
      </c>
      <c r="J78" s="53" t="n"/>
      <c r="K78" s="56" t="n">
        <v>0</v>
      </c>
      <c r="L78" s="58" t="n">
        <v>0</v>
      </c>
      <c r="M78" s="59">
        <f>(N78-K78)*F78</f>
        <v/>
      </c>
      <c r="N78" s="56">
        <f>K78*(1+L78)</f>
        <v/>
      </c>
    </row>
    <row r="79" ht="140" customHeight="1">
      <c r="A79" s="53" t="n">
        <v>68</v>
      </c>
      <c r="B7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Coconut Baskets (6 to 7 Inch) 1 Basket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9" s="53" t="inlineStr"/>
      <c r="D79" s="53" t="n"/>
      <c r="E79" s="55" t="inlineStr">
        <is>
          <t>Ex stock, subject to prior sales.</t>
        </is>
      </c>
      <c r="F79" s="56" t="n">
        <v>20</v>
      </c>
      <c r="G79" s="57" t="inlineStr">
        <is>
          <t>Each</t>
        </is>
      </c>
      <c r="H79" s="56" t="n">
        <v>0</v>
      </c>
      <c r="I79" s="56">
        <f>F79*H79</f>
        <v/>
      </c>
      <c r="J79" s="53" t="n"/>
      <c r="K79" s="56" t="n">
        <v>0</v>
      </c>
      <c r="L79" s="58" t="n">
        <v>0</v>
      </c>
      <c r="M79" s="59">
        <f>(N79-K79)*F79</f>
        <v/>
      </c>
      <c r="N79" s="56">
        <f>K79*(1+L79)</f>
        <v/>
      </c>
    </row>
    <row r="80" ht="20" customHeight="1">
      <c r="A80" s="60" t="inlineStr">
        <is>
          <t>Total Amount (AED).</t>
        </is>
      </c>
      <c r="B80" s="61" t="n"/>
      <c r="C80" s="61" t="n"/>
      <c r="D80" s="61" t="n"/>
      <c r="E80" s="61" t="n"/>
      <c r="F80" s="61" t="n"/>
      <c r="G80" s="61" t="n"/>
      <c r="H80" s="61" t="n"/>
      <c r="I80" s="62">
        <f>SUM(I12:I79)</f>
        <v/>
      </c>
    </row>
    <row r="81" ht="20" customHeight="1">
      <c r="A81" s="60" t="inlineStr">
        <is>
          <t>VAT 5% (AED).</t>
        </is>
      </c>
      <c r="B81" s="61" t="n"/>
      <c r="C81" s="61" t="n"/>
      <c r="D81" s="61" t="n"/>
      <c r="E81" s="61" t="n"/>
      <c r="F81" s="61" t="n"/>
      <c r="G81" s="61" t="n"/>
      <c r="H81" s="61" t="n"/>
      <c r="I81" s="62">
        <f>I80*0.05</f>
        <v/>
      </c>
    </row>
    <row r="82" ht="25" customHeight="1">
      <c r="A82" s="63" t="inlineStr">
        <is>
          <t>GRAND TOTAL AMOUNT (AED).</t>
        </is>
      </c>
      <c r="B82" s="64" t="n"/>
      <c r="C82" s="64" t="n"/>
      <c r="D82" s="64" t="n"/>
      <c r="E82" s="64" t="n"/>
      <c r="F82" s="64" t="n"/>
      <c r="G82" s="64" t="n"/>
      <c r="H82" s="64" t="n"/>
      <c r="I82" s="65">
        <f>SUM(I80:I81)</f>
        <v/>
      </c>
    </row>
    <row r="83">
      <c r="A83" s="66" t="inlineStr">
        <is>
          <t>NOTE :- STOCK AVAILBILITY AS PER THE QUOTATION DATE KINDLY CONFIRM AT THE TIME OF CONFIRMATION.</t>
        </is>
      </c>
      <c r="B83" s="61" t="n"/>
      <c r="C83" s="61" t="n"/>
      <c r="D83" s="61" t="n"/>
      <c r="E83" s="61" t="n"/>
      <c r="F83" s="61" t="n"/>
      <c r="G83" s="61" t="n"/>
      <c r="H83" s="61" t="n"/>
      <c r="I83" s="61" t="n"/>
    </row>
    <row r="84">
      <c r="A84" s="67" t="inlineStr">
        <is>
          <t>TERMS:</t>
        </is>
      </c>
      <c r="B84" s="61" t="n"/>
      <c r="C84" s="61" t="n"/>
      <c r="D84" s="61" t="n"/>
      <c r="E84" s="61" t="n"/>
      <c r="F84" s="61" t="n"/>
      <c r="G84" s="61" t="n"/>
      <c r="H84" s="61" t="n"/>
      <c r="I84" s="61" t="n"/>
    </row>
    <row r="85">
      <c r="A85" s="68" t="inlineStr">
        <is>
          <t>Price:</t>
        </is>
      </c>
      <c r="B85" s="68" t="inlineStr">
        <is>
          <t>Ex Warehouse Dubai, Packed.</t>
        </is>
      </c>
      <c r="C85" s="61" t="n"/>
      <c r="D85" s="61" t="n"/>
      <c r="E85" s="61" t="n"/>
      <c r="F85" s="61" t="n"/>
      <c r="G85" s="61" t="n"/>
      <c r="H85" s="61" t="n"/>
      <c r="I85" s="61" t="n"/>
    </row>
    <row r="86">
      <c r="A86" s="68" t="inlineStr">
        <is>
          <t>Delivery:</t>
        </is>
      </c>
      <c r="B86" s="68" t="inlineStr">
        <is>
          <t>Stated in Description Column Against Each Item.</t>
        </is>
      </c>
      <c r="C86" s="61" t="n"/>
      <c r="D86" s="61" t="n"/>
      <c r="E86" s="61" t="n"/>
      <c r="F86" s="61" t="n"/>
      <c r="G86" s="61" t="n"/>
      <c r="H86" s="61" t="n"/>
      <c r="I86" s="61" t="n"/>
    </row>
    <row r="87">
      <c r="A87" s="68" t="inlineStr">
        <is>
          <t>Payment:</t>
        </is>
      </c>
      <c r="B87" s="68" t="inlineStr">
        <is>
          <t>30 Days Credit.</t>
        </is>
      </c>
      <c r="C87" s="61" t="n"/>
      <c r="D87" s="61" t="n"/>
      <c r="E87" s="61" t="n"/>
      <c r="F87" s="61" t="n"/>
      <c r="G87" s="61" t="n"/>
      <c r="H87" s="61" t="n"/>
      <c r="I87" s="61" t="n"/>
    </row>
    <row r="88">
      <c r="A88" s="68" t="inlineStr">
        <is>
          <t>Validity:</t>
        </is>
      </c>
      <c r="B88" s="68" t="inlineStr">
        <is>
          <t>15 days from offer date.</t>
        </is>
      </c>
      <c r="C88" s="61" t="n"/>
      <c r="D88" s="61" t="n"/>
      <c r="E88" s="61" t="n"/>
      <c r="F88" s="61" t="n"/>
      <c r="G88" s="61" t="n"/>
      <c r="H88" s="61" t="n"/>
      <c r="I88" s="61" t="n"/>
    </row>
    <row r="89">
      <c r="A89" s="69" t="n"/>
      <c r="B89" s="70" t="n"/>
      <c r="C89" s="70" t="n"/>
      <c r="D89" s="70" t="n"/>
      <c r="E89" s="70" t="n"/>
      <c r="F89" s="70" t="n"/>
      <c r="G89" s="70" t="n"/>
      <c r="H89" s="70" t="n"/>
      <c r="I89" s="71" t="n"/>
    </row>
    <row r="90">
      <c r="A90" s="72" t="inlineStr">
        <is>
          <t>Please revert for clarifications if any. Thank you for providing an opportunity to quote.</t>
        </is>
      </c>
      <c r="B90" s="70" t="n"/>
      <c r="C90" s="70" t="n"/>
      <c r="D90" s="70" t="n"/>
      <c r="E90" s="70" t="n"/>
      <c r="F90" s="70" t="n"/>
      <c r="G90" s="70" t="n"/>
      <c r="H90" s="70" t="n"/>
      <c r="I90" s="71" t="n"/>
    </row>
    <row r="91">
      <c r="A91" s="69" t="n"/>
      <c r="B91" s="70" t="n"/>
      <c r="C91" s="70" t="n"/>
      <c r="D91" s="70" t="n"/>
      <c r="E91" s="70" t="n"/>
      <c r="F91" s="70" t="n"/>
      <c r="G91" s="70" t="n"/>
      <c r="H91" s="70" t="n"/>
      <c r="I91" s="71" t="n"/>
    </row>
    <row r="92">
      <c r="A92" s="72" t="inlineStr">
        <is>
          <t>Best Regards,</t>
        </is>
      </c>
      <c r="B92" s="70" t="n"/>
      <c r="C92" s="70" t="n"/>
      <c r="D92" s="70" t="n"/>
      <c r="E92" s="70" t="n"/>
      <c r="F92" s="70" t="n"/>
      <c r="G92" s="70" t="n"/>
      <c r="H92" s="70" t="n"/>
      <c r="I92" s="71" t="n"/>
    </row>
    <row r="93">
      <c r="A93" s="73" t="inlineStr">
        <is>
          <t>Dbest Building Hardware and Tools Trading LLC.</t>
        </is>
      </c>
      <c r="B93" s="70" t="n"/>
      <c r="C93" s="70" t="n"/>
      <c r="D93" s="70" t="n"/>
      <c r="E93" s="70" t="n"/>
      <c r="F93" s="70" t="n"/>
      <c r="G93" s="70" t="n"/>
      <c r="H93" s="70" t="n"/>
      <c r="I93" s="71" t="n"/>
    </row>
    <row r="94">
      <c r="A94" s="69" t="n"/>
      <c r="B94" s="70" t="n"/>
      <c r="C94" s="70" t="n"/>
      <c r="D94" s="70" t="n"/>
      <c r="E94" s="70" t="n"/>
      <c r="F94" s="70" t="n"/>
      <c r="G94" s="70" t="n"/>
      <c r="H94" s="70" t="n"/>
      <c r="I94" s="71" t="n"/>
    </row>
    <row r="95">
      <c r="A95" s="69" t="n"/>
      <c r="B95" s="70" t="n"/>
      <c r="C95" s="70" t="n"/>
      <c r="D95" s="70" t="n"/>
      <c r="E95" s="70" t="n"/>
      <c r="F95" s="70" t="n"/>
      <c r="G95" s="70" t="n"/>
      <c r="H95" s="70" t="n"/>
      <c r="I95" s="71" t="n"/>
    </row>
    <row r="96">
      <c r="A96" s="74" t="inlineStr">
        <is>
          <t>(This message has been electronically transmitted and does not require a signature).</t>
        </is>
      </c>
      <c r="B96" s="75" t="n"/>
      <c r="C96" s="75" t="n"/>
      <c r="D96" s="75" t="n"/>
      <c r="E96" s="75" t="n"/>
      <c r="F96" s="75" t="n"/>
      <c r="G96" s="75" t="n"/>
      <c r="H96" s="75" t="n"/>
      <c r="I96" s="76" t="n"/>
    </row>
  </sheetData>
  <mergeCells count="29">
    <mergeCell ref="E3:I3"/>
    <mergeCell ref="A90:I90"/>
    <mergeCell ref="B3:C3"/>
    <mergeCell ref="A84:I84"/>
    <mergeCell ref="A89:I89"/>
    <mergeCell ref="A82:H82"/>
    <mergeCell ref="E5:I5"/>
    <mergeCell ref="A95:I95"/>
    <mergeCell ref="B2:C2"/>
    <mergeCell ref="B86:I86"/>
    <mergeCell ref="E4:I4"/>
    <mergeCell ref="A80:H80"/>
    <mergeCell ref="A91:I91"/>
    <mergeCell ref="A96:I96"/>
    <mergeCell ref="B88:I88"/>
    <mergeCell ref="E6:I6"/>
    <mergeCell ref="B87:I87"/>
    <mergeCell ref="A93:I93"/>
    <mergeCell ref="E2:I2"/>
    <mergeCell ref="A9:I9"/>
    <mergeCell ref="A83:I83"/>
    <mergeCell ref="A92:I92"/>
    <mergeCell ref="B6:C6"/>
    <mergeCell ref="A81:H81"/>
    <mergeCell ref="B5:C5"/>
    <mergeCell ref="A1:I1"/>
    <mergeCell ref="A94:I94"/>
    <mergeCell ref="B85:I85"/>
    <mergeCell ref="B4:C4"/>
  </mergeCells>
  <printOptions horizontalCentered="1"/>
  <pageMargins left="0" right="0" top="0.9" bottom="0.88" header="0.118110236220472" footer="0.118110236220472"/>
  <pageSetup orientation="landscape" paperSize="9" scale="74" fitToHeight="0" fitToWidth="1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2026-02-07T12:10:00Z</dcterms:modified>
  <cp:lastModifiedBy>AVINASH MAURYA</cp:lastModifiedBy>
</cp:coreProperties>
</file>