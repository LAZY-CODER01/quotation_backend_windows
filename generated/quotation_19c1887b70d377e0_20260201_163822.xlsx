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695" tabRatio="600" firstSheet="0" activeTab="0" autoFilterDateGrouping="1"/>
  </bookViews>
  <sheets>
    <sheet xmlns:r="http://schemas.openxmlformats.org/officeDocument/2006/relationships" name="Sheet1 (2)" sheetId="1" state="visible" r:id="rId1"/>
  </sheets>
  <definedNames>
    <definedName name="_xlnm.Print_Titles" localSheetId="0">'Sheet1 (2)'!$11:$11</definedName>
    <definedName name="_xlnm.Print_Area" localSheetId="0">'Sheet1 (2)'!$A$1:$I$29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18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b val="1"/>
      <color theme="1"/>
      <sz val="12"/>
      <scheme val="minor"/>
    </font>
    <font>
      <name val="Calibri"/>
      <family val="2"/>
      <sz val="8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12"/>
    </font>
    <font>
      <name val="Arial"/>
      <family val="2"/>
      <color theme="1"/>
      <sz val="14"/>
    </font>
    <font>
      <name val="Calibri"/>
      <b val="1"/>
      <color rgb="00FF0000"/>
      <sz val="11"/>
    </font>
    <font>
      <name val="Calibri"/>
      <b val="1"/>
      <sz val="11"/>
    </font>
    <font>
      <name val="Calibri"/>
      <b val="1"/>
      <color rgb="00FF0000"/>
      <sz val="12"/>
    </font>
    <font>
      <name val="Calibri"/>
      <b val="1"/>
      <color rgb="00FF0000"/>
      <sz val="13"/>
    </font>
    <font>
      <name val="Calibri"/>
      <i val="1"/>
      <sz val="9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F66"/>
      </patternFill>
    </fill>
    <fill>
      <patternFill patternType="solid">
        <fgColor rgb="00D9D9D9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826">
    <xf numFmtId="0" fontId="6" fillId="0" borderId="0"/>
    <xf numFmtId="0" fontId="3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43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0" fontId="7" fillId="0" borderId="0"/>
    <xf numFmtId="43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0" fontId="7" fillId="0" borderId="0"/>
    <xf numFmtId="0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9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</cellStyleXfs>
  <cellXfs count="69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 wrapText="1"/>
    </xf>
    <xf numFmtId="0" fontId="8" fillId="2" borderId="11" applyAlignment="1" pivotButton="0" quotePrefix="0" xfId="0">
      <alignment horizontal="center" vertical="center" wrapText="1"/>
    </xf>
    <xf numFmtId="164" fontId="10" fillId="6" borderId="7" pivotButton="0" quotePrefix="0" xfId="279"/>
    <xf numFmtId="164" fontId="10" fillId="6" borderId="0" pivotButton="0" quotePrefix="0" xfId="279"/>
    <xf numFmtId="164" fontId="8" fillId="6" borderId="5" applyAlignment="1" pivotButton="0" quotePrefix="0" xfId="279">
      <alignment horizontal="center" vertical="center" wrapText="1"/>
    </xf>
    <xf numFmtId="164" fontId="8" fillId="4" borderId="12" applyAlignment="1" pivotButton="0" quotePrefix="0" xfId="279">
      <alignment horizontal="center" vertical="center" wrapText="1"/>
    </xf>
    <xf numFmtId="164" fontId="10" fillId="0" borderId="7" pivotButton="0" quotePrefix="0" xfId="279"/>
    <xf numFmtId="164" fontId="10" fillId="0" borderId="0" pivotButton="0" quotePrefix="0" xfId="279"/>
    <xf numFmtId="164" fontId="8" fillId="2" borderId="5" applyAlignment="1" pivotButton="0" quotePrefix="0" xfId="279">
      <alignment horizontal="center" vertical="center" wrapText="1"/>
    </xf>
    <xf numFmtId="164" fontId="11" fillId="0" borderId="8" pivotButton="0" quotePrefix="0" xfId="279"/>
    <xf numFmtId="164" fontId="11" fillId="0" borderId="10" pivotButton="0" quotePrefix="0" xfId="279"/>
    <xf numFmtId="164" fontId="8" fillId="0" borderId="12" applyAlignment="1" pivotButton="0" quotePrefix="0" xfId="279">
      <alignment horizontal="center" vertical="center" wrapText="1"/>
    </xf>
    <xf numFmtId="10" fontId="10" fillId="5" borderId="7" pivotButton="0" quotePrefix="0" xfId="280"/>
    <xf numFmtId="10" fontId="10" fillId="5" borderId="0" pivotButton="0" quotePrefix="0" xfId="280"/>
    <xf numFmtId="10" fontId="8" fillId="5" borderId="5" applyAlignment="1" pivotButton="0" quotePrefix="0" xfId="280">
      <alignment horizontal="center" vertical="center" wrapText="1"/>
    </xf>
    <xf numFmtId="0" fontId="1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16" applyAlignment="1" pivotButton="0" quotePrefix="0" xfId="0">
      <alignment horizontal="left" vertical="center"/>
    </xf>
    <xf numFmtId="0" fontId="2" fillId="0" borderId="17" pivotButton="0" quotePrefix="0" xfId="0"/>
    <xf numFmtId="0" fontId="0" fillId="0" borderId="16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0" fillId="0" borderId="17" pivotButton="0" quotePrefix="0" xfId="0"/>
    <xf numFmtId="0" fontId="10" fillId="0" borderId="6" applyAlignment="1" pivotButton="0" quotePrefix="0" xfId="0">
      <alignment wrapText="1"/>
    </xf>
    <xf numFmtId="0" fontId="10" fillId="0" borderId="9" applyAlignment="1" pivotButton="0" quotePrefix="0" xfId="0">
      <alignment wrapText="1"/>
    </xf>
    <xf numFmtId="0" fontId="0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17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 wrapText="1"/>
    </xf>
    <xf numFmtId="0" fontId="4" fillId="3" borderId="13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4" fillId="3" borderId="15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 wrapText="1"/>
    </xf>
    <xf numFmtId="14" fontId="5" fillId="0" borderId="2" applyAlignment="1" pivotButton="0" quotePrefix="0" xfId="0">
      <alignment horizontal="left" vertical="center" wrapText="1"/>
    </xf>
    <xf numFmtId="0" fontId="5" fillId="0" borderId="2" applyAlignment="1" pivotButton="0" quotePrefix="0" xfId="1">
      <alignment horizontal="left" vertical="center" wrapText="1"/>
    </xf>
    <xf numFmtId="0" fontId="5" fillId="0" borderId="3" applyAlignment="1" pivotButton="0" quotePrefix="0" xfId="1">
      <alignment horizontal="left" vertical="center" wrapText="1"/>
    </xf>
    <xf numFmtId="0" fontId="5" fillId="0" borderId="4" applyAlignment="1" pivotButton="0" quotePrefix="0" xfId="1">
      <alignment horizontal="left" vertical="center" wrapText="1"/>
    </xf>
    <xf numFmtId="0" fontId="3" fillId="0" borderId="2" applyAlignment="1" pivotButton="0" quotePrefix="0" xfId="1">
      <alignment horizontal="left" vertical="center" wrapText="1"/>
    </xf>
    <xf numFmtId="0" fontId="4" fillId="3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3" pivotButton="0" quotePrefix="0" xfId="0"/>
    <xf numFmtId="14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1">
      <alignment horizontal="left" vertical="center" wrapText="1"/>
    </xf>
    <xf numFmtId="0" fontId="3" fillId="0" borderId="1" applyAlignment="1" pivotButton="0" quotePrefix="0" xfId="1">
      <alignment horizontal="left" vertical="center" wrapText="1"/>
    </xf>
    <xf numFmtId="0" fontId="0" fillId="0" borderId="18" applyAlignment="1" pivotButton="0" quotePrefix="0" xfId="0">
      <alignment horizontal="left" vertical="center"/>
    </xf>
    <xf numFmtId="0" fontId="0" fillId="0" borderId="19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left" vertical="top" wrapText="1"/>
    </xf>
    <xf numFmtId="0" fontId="13" fillId="0" borderId="19" applyAlignment="1" pivotButton="0" quotePrefix="0" xfId="0">
      <alignment horizontal="center" vertical="center" wrapText="1"/>
    </xf>
    <xf numFmtId="4" fontId="14" fillId="0" borderId="19" applyAlignment="1" pivotButton="0" quotePrefix="0" xfId="0">
      <alignment horizontal="center" vertical="center" wrapText="1"/>
    </xf>
    <xf numFmtId="0" fontId="14" fillId="0" borderId="19" applyAlignment="1" pivotButton="0" quotePrefix="0" xfId="0">
      <alignment horizontal="center" vertical="center" wrapText="1"/>
    </xf>
    <xf numFmtId="10" fontId="0" fillId="7" borderId="19" applyAlignment="1" pivotButton="0" quotePrefix="0" xfId="0">
      <alignment horizontal="center" vertical="center" wrapText="1"/>
    </xf>
    <xf numFmtId="4" fontId="14" fillId="8" borderId="19" applyAlignment="1" pivotButton="0" quotePrefix="0" xfId="0">
      <alignment horizontal="center" vertical="center" wrapText="1"/>
    </xf>
    <xf numFmtId="0" fontId="15" fillId="0" borderId="19" applyAlignment="1" pivotButton="0" quotePrefix="0" xfId="0">
      <alignment horizontal="right" vertical="center"/>
    </xf>
    <xf numFmtId="0" fontId="0" fillId="0" borderId="19" pivotButton="0" quotePrefix="0" xfId="0"/>
    <xf numFmtId="4" fontId="15" fillId="0" borderId="19" applyAlignment="1" pivotButton="0" quotePrefix="0" xfId="0">
      <alignment horizontal="center" vertical="center" wrapText="1"/>
    </xf>
    <xf numFmtId="0" fontId="16" fillId="9" borderId="19" applyAlignment="1" pivotButton="0" quotePrefix="0" xfId="0">
      <alignment horizontal="right" vertical="center"/>
    </xf>
    <xf numFmtId="0" fontId="0" fillId="9" borderId="19" pivotButton="0" quotePrefix="0" xfId="0"/>
    <xf numFmtId="4" fontId="16" fillId="9" borderId="19" applyAlignment="1" pivotButton="0" quotePrefix="0" xfId="0">
      <alignment horizontal="center" vertical="center" wrapText="1"/>
    </xf>
    <xf numFmtId="0" fontId="14" fillId="10" borderId="19" applyAlignment="1" pivotButton="0" quotePrefix="0" xfId="0">
      <alignment horizontal="left" vertical="center"/>
    </xf>
    <xf numFmtId="0" fontId="14" fillId="0" borderId="19" applyAlignment="1" pivotButton="0" quotePrefix="0" xfId="0">
      <alignment horizontal="left" vertical="center"/>
    </xf>
    <xf numFmtId="0" fontId="17" fillId="0" borderId="0" pivotButton="0" quotePrefix="0" xfId="0"/>
  </cellXfs>
  <cellStyles count="826">
    <cellStyle name="Normal" xfId="0" builtinId="0"/>
    <cellStyle name="Hyperlink" xfId="1" builtinId="8"/>
    <cellStyle name="Comma 3" xfId="2"/>
    <cellStyle name="Comma 2" xfId="3"/>
    <cellStyle name="Comma 10" xfId="4"/>
    <cellStyle name="Comma 11" xfId="5"/>
    <cellStyle name="Comma 12" xfId="6"/>
    <cellStyle name="Comma 13" xfId="7"/>
    <cellStyle name="Comma 14" xfId="8"/>
    <cellStyle name="Comma 15" xfId="9"/>
    <cellStyle name="Comma 16" xfId="10"/>
    <cellStyle name="Comma 17" xfId="11"/>
    <cellStyle name="Comma 18" xfId="12"/>
    <cellStyle name="Comma 19" xfId="13"/>
    <cellStyle name="Comma 20" xfId="14"/>
    <cellStyle name="Comma 21" xfId="15"/>
    <cellStyle name="Comma 22" xfId="16"/>
    <cellStyle name="Comma 23" xfId="17"/>
    <cellStyle name="Comma 24" xfId="18"/>
    <cellStyle name="Comma 25" xfId="19"/>
    <cellStyle name="Comma 26" xfId="20"/>
    <cellStyle name="Comma 27" xfId="21"/>
    <cellStyle name="Comma 4" xfId="22"/>
    <cellStyle name="Comma 5" xfId="23"/>
    <cellStyle name="Comma 6" xfId="24"/>
    <cellStyle name="Comma 7" xfId="25"/>
    <cellStyle name="Comma 8" xfId="26"/>
    <cellStyle name="Comma 9" xfId="27"/>
    <cellStyle name="Comma 28" xfId="28"/>
    <cellStyle name="Normal 2" xfId="29"/>
    <cellStyle name="Comma 2 2" xfId="30"/>
    <cellStyle name="Comma 3 4" xfId="31"/>
    <cellStyle name="Comma 2 5" xfId="32"/>
    <cellStyle name="Comma 10 4" xfId="33"/>
    <cellStyle name="Comma 11 4" xfId="34"/>
    <cellStyle name="Comma 12 4" xfId="35"/>
    <cellStyle name="Comma 13 4" xfId="36"/>
    <cellStyle name="Comma 14 4" xfId="37"/>
    <cellStyle name="Comma 15 4" xfId="38"/>
    <cellStyle name="Comma 16 4" xfId="39"/>
    <cellStyle name="Comma 17 4" xfId="40"/>
    <cellStyle name="Comma 18 4" xfId="41"/>
    <cellStyle name="Comma 19 4" xfId="42"/>
    <cellStyle name="Comma 20 4" xfId="43"/>
    <cellStyle name="Comma 21 4" xfId="44"/>
    <cellStyle name="Comma 22 4" xfId="45"/>
    <cellStyle name="Comma 23 4" xfId="46"/>
    <cellStyle name="Comma 24 4" xfId="47"/>
    <cellStyle name="Comma 25 4" xfId="48"/>
    <cellStyle name="Comma 26 4" xfId="49"/>
    <cellStyle name="Comma 27 4" xfId="50"/>
    <cellStyle name="Comma 4 4" xfId="51"/>
    <cellStyle name="Comma 5 4" xfId="52"/>
    <cellStyle name="Comma 6 4" xfId="53"/>
    <cellStyle name="Comma 7 4" xfId="54"/>
    <cellStyle name="Comma 8 4" xfId="55"/>
    <cellStyle name="Comma 9 4" xfId="56"/>
    <cellStyle name="Comma 28 4" xfId="57"/>
    <cellStyle name="Comma 2 2 4" xfId="58"/>
    <cellStyle name="Comma 3 3" xfId="59"/>
    <cellStyle name="Comma 2 4" xfId="60"/>
    <cellStyle name="Comma 10 3" xfId="61"/>
    <cellStyle name="Comma 11 3" xfId="62"/>
    <cellStyle name="Comma 12 3" xfId="63"/>
    <cellStyle name="Comma 13 3" xfId="64"/>
    <cellStyle name="Comma 14 3" xfId="65"/>
    <cellStyle name="Comma 15 3" xfId="66"/>
    <cellStyle name="Comma 16 3" xfId="67"/>
    <cellStyle name="Comma 17 3" xfId="68"/>
    <cellStyle name="Comma 18 3" xfId="69"/>
    <cellStyle name="Comma 19 3" xfId="70"/>
    <cellStyle name="Comma 20 3" xfId="71"/>
    <cellStyle name="Comma 21 3" xfId="72"/>
    <cellStyle name="Comma 22 3" xfId="73"/>
    <cellStyle name="Comma 23 3" xfId="74"/>
    <cellStyle name="Comma 24 3" xfId="75"/>
    <cellStyle name="Comma 25 3" xfId="76"/>
    <cellStyle name="Comma 26 3" xfId="77"/>
    <cellStyle name="Comma 27 3" xfId="78"/>
    <cellStyle name="Comma 4 3" xfId="79"/>
    <cellStyle name="Comma 5 3" xfId="80"/>
    <cellStyle name="Comma 6 3" xfId="81"/>
    <cellStyle name="Comma 7 3" xfId="82"/>
    <cellStyle name="Comma 8 3" xfId="83"/>
    <cellStyle name="Comma 9 3" xfId="84"/>
    <cellStyle name="Comma 28 3" xfId="85"/>
    <cellStyle name="Comma 2 2 3" xfId="86"/>
    <cellStyle name="Comma 3 2" xfId="87"/>
    <cellStyle name="Comma 2 3" xfId="88"/>
    <cellStyle name="Comma 10 2" xfId="89"/>
    <cellStyle name="Comma 11 2" xfId="90"/>
    <cellStyle name="Comma 12 2" xfId="91"/>
    <cellStyle name="Comma 13 2" xfId="92"/>
    <cellStyle name="Comma 14 2" xfId="93"/>
    <cellStyle name="Comma 15 2" xfId="94"/>
    <cellStyle name="Comma 16 2" xfId="95"/>
    <cellStyle name="Comma 17 2" xfId="96"/>
    <cellStyle name="Comma 18 2" xfId="97"/>
    <cellStyle name="Comma 19 2" xfId="98"/>
    <cellStyle name="Comma 20 2" xfId="99"/>
    <cellStyle name="Comma 21 2" xfId="100"/>
    <cellStyle name="Comma 22 2" xfId="101"/>
    <cellStyle name="Comma 23 2" xfId="102"/>
    <cellStyle name="Comma 24 2" xfId="103"/>
    <cellStyle name="Comma 25 2" xfId="104"/>
    <cellStyle name="Comma 26 2" xfId="105"/>
    <cellStyle name="Comma 27 2" xfId="106"/>
    <cellStyle name="Comma 4 2" xfId="107"/>
    <cellStyle name="Comma 5 2" xfId="108"/>
    <cellStyle name="Comma 6 2" xfId="109"/>
    <cellStyle name="Comma 7 2" xfId="110"/>
    <cellStyle name="Comma 8 2" xfId="111"/>
    <cellStyle name="Comma 9 2" xfId="112"/>
    <cellStyle name="Comma 28 2" xfId="113"/>
    <cellStyle name="Comma 2 2 2" xfId="114"/>
    <cellStyle name="Comma 3 5" xfId="115"/>
    <cellStyle name="Comma 2 6" xfId="116"/>
    <cellStyle name="Comma 10 5" xfId="117"/>
    <cellStyle name="Comma 11 5" xfId="118"/>
    <cellStyle name="Comma 12 5" xfId="119"/>
    <cellStyle name="Comma 13 5" xfId="120"/>
    <cellStyle name="Comma 14 5" xfId="121"/>
    <cellStyle name="Comma 15 5" xfId="122"/>
    <cellStyle name="Comma 16 5" xfId="123"/>
    <cellStyle name="Comma 17 5" xfId="124"/>
    <cellStyle name="Comma 18 5" xfId="125"/>
    <cellStyle name="Comma 19 5" xfId="126"/>
    <cellStyle name="Comma 20 5" xfId="127"/>
    <cellStyle name="Comma 21 5" xfId="128"/>
    <cellStyle name="Comma 22 5" xfId="129"/>
    <cellStyle name="Comma 24 5" xfId="130"/>
    <cellStyle name="Comma 25 5" xfId="131"/>
    <cellStyle name="Comma 26 5" xfId="132"/>
    <cellStyle name="Comma 27 5" xfId="133"/>
    <cellStyle name="Comma 4 5" xfId="134"/>
    <cellStyle name="Comma 5 5" xfId="135"/>
    <cellStyle name="Comma 6 5" xfId="136"/>
    <cellStyle name="Comma 7 5" xfId="137"/>
    <cellStyle name="Comma 8 5" xfId="138"/>
    <cellStyle name="Comma 9 5" xfId="139"/>
    <cellStyle name="Comma 28 5" xfId="140"/>
    <cellStyle name="Normal 2 2" xfId="141"/>
    <cellStyle name="Normal 4" xfId="142"/>
    <cellStyle name="Comma 3 6" xfId="143"/>
    <cellStyle name="Comma 2 7" xfId="144"/>
    <cellStyle name="Comma 10 6" xfId="145"/>
    <cellStyle name="Comma 11 6" xfId="146"/>
    <cellStyle name="Comma 12 6" xfId="147"/>
    <cellStyle name="Comma 13 6" xfId="148"/>
    <cellStyle name="Comma 14 6" xfId="149"/>
    <cellStyle name="Comma 15 6" xfId="150"/>
    <cellStyle name="Comma 16 6" xfId="151"/>
    <cellStyle name="Comma 17 6" xfId="152"/>
    <cellStyle name="Comma 18 6" xfId="153"/>
    <cellStyle name="Comma 19 6" xfId="154"/>
    <cellStyle name="Comma 20 6" xfId="155"/>
    <cellStyle name="Comma 21 6" xfId="156"/>
    <cellStyle name="Comma 22 6" xfId="157"/>
    <cellStyle name="Comma 24 6" xfId="158"/>
    <cellStyle name="Comma 25 6" xfId="159"/>
    <cellStyle name="Comma 26 6" xfId="160"/>
    <cellStyle name="Comma 27 6" xfId="161"/>
    <cellStyle name="Comma 4 6" xfId="162"/>
    <cellStyle name="Comma 5 6" xfId="163"/>
    <cellStyle name="Comma 6 6" xfId="164"/>
    <cellStyle name="Comma 7 6" xfId="165"/>
    <cellStyle name="Comma 8 6" xfId="166"/>
    <cellStyle name="Comma 9 6" xfId="167"/>
    <cellStyle name="Comma 28 6" xfId="168"/>
    <cellStyle name="Comma 3 4 2" xfId="169"/>
    <cellStyle name="Comma 2 5 2" xfId="170"/>
    <cellStyle name="Comma 10 4 2" xfId="171"/>
    <cellStyle name="Comma 11 4 2" xfId="172"/>
    <cellStyle name="Comma 12 4 2" xfId="173"/>
    <cellStyle name="Comma 13 4 2" xfId="174"/>
    <cellStyle name="Comma 14 4 2" xfId="175"/>
    <cellStyle name="Comma 15 4 2" xfId="176"/>
    <cellStyle name="Comma 16 4 2" xfId="177"/>
    <cellStyle name="Comma 17 4 2" xfId="178"/>
    <cellStyle name="Comma 18 4 2" xfId="179"/>
    <cellStyle name="Comma 19 4 2" xfId="180"/>
    <cellStyle name="Comma 20 4 2" xfId="181"/>
    <cellStyle name="Comma 21 4 2" xfId="182"/>
    <cellStyle name="Comma 22 4 2" xfId="183"/>
    <cellStyle name="Comma 23 4 2" xfId="184"/>
    <cellStyle name="Comma 24 4 2" xfId="185"/>
    <cellStyle name="Comma 25 4 2" xfId="186"/>
    <cellStyle name="Comma 26 4 2" xfId="187"/>
    <cellStyle name="Comma 27 4 2" xfId="188"/>
    <cellStyle name="Comma 4 4 2" xfId="189"/>
    <cellStyle name="Comma 5 4 2" xfId="190"/>
    <cellStyle name="Comma 6 4 2" xfId="191"/>
    <cellStyle name="Comma 7 4 2" xfId="192"/>
    <cellStyle name="Comma 8 4 2" xfId="193"/>
    <cellStyle name="Comma 9 4 2" xfId="194"/>
    <cellStyle name="Comma 28 4 2" xfId="195"/>
    <cellStyle name="Comma 2 2 4 2" xfId="196"/>
    <cellStyle name="Comma 3 3 2" xfId="197"/>
    <cellStyle name="Comma 2 4 2" xfId="198"/>
    <cellStyle name="Comma 10 3 2" xfId="199"/>
    <cellStyle name="Comma 11 3 2" xfId="200"/>
    <cellStyle name="Comma 12 3 2" xfId="201"/>
    <cellStyle name="Comma 13 3 2" xfId="202"/>
    <cellStyle name="Comma 14 3 2" xfId="203"/>
    <cellStyle name="Comma 15 3 2" xfId="204"/>
    <cellStyle name="Comma 16 3 2" xfId="205"/>
    <cellStyle name="Comma 17 3 2" xfId="206"/>
    <cellStyle name="Comma 18 3 2" xfId="207"/>
    <cellStyle name="Comma 19 3 2" xfId="208"/>
    <cellStyle name="Comma 20 3 2" xfId="209"/>
    <cellStyle name="Comma 21 3 2" xfId="210"/>
    <cellStyle name="Comma 22 3 2" xfId="211"/>
    <cellStyle name="Comma 23 3 2" xfId="212"/>
    <cellStyle name="Comma 24 3 2" xfId="213"/>
    <cellStyle name="Comma 25 3 2" xfId="214"/>
    <cellStyle name="Comma 26 3 2" xfId="215"/>
    <cellStyle name="Comma 27 3 2" xfId="216"/>
    <cellStyle name="Comma 4 3 2" xfId="217"/>
    <cellStyle name="Comma 5 3 2" xfId="218"/>
    <cellStyle name="Comma 6 3 2" xfId="219"/>
    <cellStyle name="Comma 7 3 2" xfId="220"/>
    <cellStyle name="Comma 8 3 2" xfId="221"/>
    <cellStyle name="Comma 9 3 2" xfId="222"/>
    <cellStyle name="Comma 28 3 2" xfId="223"/>
    <cellStyle name="Comma 2 2 3 2" xfId="224"/>
    <cellStyle name="Comma 3 2 2" xfId="225"/>
    <cellStyle name="Comma 2 3 2" xfId="226"/>
    <cellStyle name="Comma 10 2 2" xfId="227"/>
    <cellStyle name="Comma 11 2 2" xfId="228"/>
    <cellStyle name="Comma 12 2 2" xfId="229"/>
    <cellStyle name="Comma 13 2 2" xfId="230"/>
    <cellStyle name="Comma 14 2 2" xfId="231"/>
    <cellStyle name="Comma 15 2 2" xfId="232"/>
    <cellStyle name="Comma 16 2 2" xfId="233"/>
    <cellStyle name="Comma 17 2 2" xfId="234"/>
    <cellStyle name="Comma 18 2 2" xfId="235"/>
    <cellStyle name="Comma 19 2 2" xfId="236"/>
    <cellStyle name="Comma 20 2 2" xfId="237"/>
    <cellStyle name="Comma 21 2 2" xfId="238"/>
    <cellStyle name="Comma 22 2 2" xfId="239"/>
    <cellStyle name="Comma 23 2 2" xfId="240"/>
    <cellStyle name="Comma 24 2 2" xfId="241"/>
    <cellStyle name="Comma 25 2 2" xfId="242"/>
    <cellStyle name="Comma 26 2 2" xfId="243"/>
    <cellStyle name="Comma 27 2 2" xfId="244"/>
    <cellStyle name="Comma 4 2 2" xfId="245"/>
    <cellStyle name="Comma 5 2 2" xfId="246"/>
    <cellStyle name="Comma 6 2 2" xfId="247"/>
    <cellStyle name="Comma 7 2 2" xfId="248"/>
    <cellStyle name="Comma 8 2 2" xfId="249"/>
    <cellStyle name="Comma 9 2 2" xfId="250"/>
    <cellStyle name="Comma 28 2 2" xfId="251"/>
    <cellStyle name="Comma 2 2 2 2" xfId="252"/>
    <cellStyle name="Comma 3 5 2" xfId="253"/>
    <cellStyle name="Comma 2 6 2" xfId="254"/>
    <cellStyle name="Comma 10 5 2" xfId="255"/>
    <cellStyle name="Comma 11 5 2" xfId="256"/>
    <cellStyle name="Comma 12 5 2" xfId="257"/>
    <cellStyle name="Comma 13 5 2" xfId="258"/>
    <cellStyle name="Comma 14 5 2" xfId="259"/>
    <cellStyle name="Comma 15 5 2" xfId="260"/>
    <cellStyle name="Comma 16 5 2" xfId="261"/>
    <cellStyle name="Comma 17 5 2" xfId="262"/>
    <cellStyle name="Comma 18 5 2" xfId="263"/>
    <cellStyle name="Comma 19 5 2" xfId="264"/>
    <cellStyle name="Comma 20 5 2" xfId="265"/>
    <cellStyle name="Comma 21 5 2" xfId="266"/>
    <cellStyle name="Comma 22 5 2" xfId="267"/>
    <cellStyle name="Comma 24 5 2" xfId="268"/>
    <cellStyle name="Comma 25 5 2" xfId="269"/>
    <cellStyle name="Comma 26 5 2" xfId="270"/>
    <cellStyle name="Comma 27 5 2" xfId="271"/>
    <cellStyle name="Comma 4 5 2" xfId="272"/>
    <cellStyle name="Comma 5 5 2" xfId="273"/>
    <cellStyle name="Comma 6 5 2" xfId="274"/>
    <cellStyle name="Comma 7 5 2" xfId="275"/>
    <cellStyle name="Comma 8 5 2" xfId="276"/>
    <cellStyle name="Comma 9 5 2" xfId="277"/>
    <cellStyle name="Comma 28 5 2" xfId="278"/>
    <cellStyle name="Comma" xfId="279" builtinId="3"/>
    <cellStyle name="Percent" xfId="280" builtinId="5"/>
    <cellStyle name="Comma 3 8" xfId="281"/>
    <cellStyle name="Comma 2 9" xfId="282"/>
    <cellStyle name="Comma 10 8" xfId="283"/>
    <cellStyle name="Comma 11 8" xfId="284"/>
    <cellStyle name="Comma 12 8" xfId="285"/>
    <cellStyle name="Comma 13 8" xfId="286"/>
    <cellStyle name="Comma 14 8" xfId="287"/>
    <cellStyle name="Comma 15 8" xfId="288"/>
    <cellStyle name="Comma 16 8" xfId="289"/>
    <cellStyle name="Comma 17 8" xfId="290"/>
    <cellStyle name="Comma 18 8" xfId="291"/>
    <cellStyle name="Comma 19 8" xfId="292"/>
    <cellStyle name="Comma 20 8" xfId="293"/>
    <cellStyle name="Comma 21 8" xfId="294"/>
    <cellStyle name="Comma 22 8" xfId="295"/>
    <cellStyle name="Comma 24 8" xfId="296"/>
    <cellStyle name="Comma 25 8" xfId="297"/>
    <cellStyle name="Comma 26 8" xfId="298"/>
    <cellStyle name="Comma 27 8" xfId="299"/>
    <cellStyle name="Comma 4 8" xfId="300"/>
    <cellStyle name="Comma 5 8" xfId="301"/>
    <cellStyle name="Comma 6 8" xfId="302"/>
    <cellStyle name="Comma 7 8" xfId="303"/>
    <cellStyle name="Comma 8 8" xfId="304"/>
    <cellStyle name="Comma 9 8" xfId="305"/>
    <cellStyle name="Comma 28 8" xfId="306"/>
    <cellStyle name="Comma 3 4 4" xfId="307"/>
    <cellStyle name="Comma 2 5 4" xfId="308"/>
    <cellStyle name="Comma 10 4 4" xfId="309"/>
    <cellStyle name="Comma 11 4 4" xfId="310"/>
    <cellStyle name="Comma 12 4 4" xfId="311"/>
    <cellStyle name="Comma 13 4 4" xfId="312"/>
    <cellStyle name="Comma 14 4 4" xfId="313"/>
    <cellStyle name="Comma 15 4 4" xfId="314"/>
    <cellStyle name="Comma 16 4 4" xfId="315"/>
    <cellStyle name="Comma 17 4 4" xfId="316"/>
    <cellStyle name="Comma 18 4 4" xfId="317"/>
    <cellStyle name="Comma 19 4 4" xfId="318"/>
    <cellStyle name="Comma 20 4 4" xfId="319"/>
    <cellStyle name="Comma 21 4 4" xfId="320"/>
    <cellStyle name="Comma 22 4 4" xfId="321"/>
    <cellStyle name="Comma 23 4 4" xfId="322"/>
    <cellStyle name="Comma 24 4 4" xfId="323"/>
    <cellStyle name="Comma 25 4 4" xfId="324"/>
    <cellStyle name="Comma 26 4 4" xfId="325"/>
    <cellStyle name="Comma 27 4 4" xfId="326"/>
    <cellStyle name="Comma 4 4 4" xfId="327"/>
    <cellStyle name="Comma 5 4 4" xfId="328"/>
    <cellStyle name="Comma 6 4 4" xfId="329"/>
    <cellStyle name="Comma 7 4 4" xfId="330"/>
    <cellStyle name="Comma 8 4 4" xfId="331"/>
    <cellStyle name="Comma 9 4 4" xfId="332"/>
    <cellStyle name="Comma 28 4 4" xfId="333"/>
    <cellStyle name="Comma 2 2 4 4" xfId="334"/>
    <cellStyle name="Comma 3 3 4" xfId="335"/>
    <cellStyle name="Comma 2 4 4" xfId="336"/>
    <cellStyle name="Comma 10 3 4" xfId="337"/>
    <cellStyle name="Comma 11 3 4" xfId="338"/>
    <cellStyle name="Comma 12 3 4" xfId="339"/>
    <cellStyle name="Comma 13 3 4" xfId="340"/>
    <cellStyle name="Comma 14 3 4" xfId="341"/>
    <cellStyle name="Comma 15 3 4" xfId="342"/>
    <cellStyle name="Comma 16 3 4" xfId="343"/>
    <cellStyle name="Comma 17 3 4" xfId="344"/>
    <cellStyle name="Comma 18 3 4" xfId="345"/>
    <cellStyle name="Comma 19 3 4" xfId="346"/>
    <cellStyle name="Comma 20 3 4" xfId="347"/>
    <cellStyle name="Comma 21 3 4" xfId="348"/>
    <cellStyle name="Comma 22 3 4" xfId="349"/>
    <cellStyle name="Comma 23 3 4" xfId="350"/>
    <cellStyle name="Comma 24 3 4" xfId="351"/>
    <cellStyle name="Comma 25 3 4" xfId="352"/>
    <cellStyle name="Comma 26 3 4" xfId="353"/>
    <cellStyle name="Comma 27 3 4" xfId="354"/>
    <cellStyle name="Comma 4 3 4" xfId="355"/>
    <cellStyle name="Comma 5 3 4" xfId="356"/>
    <cellStyle name="Comma 6 3 4" xfId="357"/>
    <cellStyle name="Comma 7 3 4" xfId="358"/>
    <cellStyle name="Comma 8 3 4" xfId="359"/>
    <cellStyle name="Comma 9 3 4" xfId="360"/>
    <cellStyle name="Comma 28 3 4" xfId="361"/>
    <cellStyle name="Comma 2 2 3 4" xfId="362"/>
    <cellStyle name="Comma 3 2 4" xfId="363"/>
    <cellStyle name="Comma 2 3 4" xfId="364"/>
    <cellStyle name="Comma 10 2 4" xfId="365"/>
    <cellStyle name="Comma 11 2 4" xfId="366"/>
    <cellStyle name="Comma 12 2 4" xfId="367"/>
    <cellStyle name="Comma 13 2 4" xfId="368"/>
    <cellStyle name="Comma 14 2 4" xfId="369"/>
    <cellStyle name="Comma 15 2 4" xfId="370"/>
    <cellStyle name="Comma 16 2 4" xfId="371"/>
    <cellStyle name="Comma 17 2 4" xfId="372"/>
    <cellStyle name="Comma 18 2 4" xfId="373"/>
    <cellStyle name="Comma 19 2 4" xfId="374"/>
    <cellStyle name="Comma 20 2 4" xfId="375"/>
    <cellStyle name="Comma 21 2 4" xfId="376"/>
    <cellStyle name="Comma 22 2 4" xfId="377"/>
    <cellStyle name="Comma 23 2 4" xfId="378"/>
    <cellStyle name="Comma 24 2 4" xfId="379"/>
    <cellStyle name="Comma 25 2 4" xfId="380"/>
    <cellStyle name="Comma 26 2 4" xfId="381"/>
    <cellStyle name="Comma 27 2 4" xfId="382"/>
    <cellStyle name="Comma 4 2 4" xfId="383"/>
    <cellStyle name="Comma 5 2 4" xfId="384"/>
    <cellStyle name="Comma 6 2 4" xfId="385"/>
    <cellStyle name="Comma 7 2 4" xfId="386"/>
    <cellStyle name="Comma 8 2 4" xfId="387"/>
    <cellStyle name="Comma 9 2 4" xfId="388"/>
    <cellStyle name="Comma 28 2 4" xfId="389"/>
    <cellStyle name="Comma 2 2 2 4" xfId="390"/>
    <cellStyle name="Comma 3 5 4" xfId="391"/>
    <cellStyle name="Comma 2 6 4" xfId="392"/>
    <cellStyle name="Comma 10 5 4" xfId="393"/>
    <cellStyle name="Comma 11 5 4" xfId="394"/>
    <cellStyle name="Comma 12 5 4" xfId="395"/>
    <cellStyle name="Comma 13 5 4" xfId="396"/>
    <cellStyle name="Comma 14 5 4" xfId="397"/>
    <cellStyle name="Comma 15 5 4" xfId="398"/>
    <cellStyle name="Comma 16 5 4" xfId="399"/>
    <cellStyle name="Comma 17 5 4" xfId="400"/>
    <cellStyle name="Comma 18 5 4" xfId="401"/>
    <cellStyle name="Comma 19 5 4" xfId="402"/>
    <cellStyle name="Comma 20 5 4" xfId="403"/>
    <cellStyle name="Comma 21 5 4" xfId="404"/>
    <cellStyle name="Comma 22 5 4" xfId="405"/>
    <cellStyle name="Comma 24 5 4" xfId="406"/>
    <cellStyle name="Comma 25 5 4" xfId="407"/>
    <cellStyle name="Comma 26 5 4" xfId="408"/>
    <cellStyle name="Comma 27 5 4" xfId="409"/>
    <cellStyle name="Comma 4 5 4" xfId="410"/>
    <cellStyle name="Comma 5 5 4" xfId="411"/>
    <cellStyle name="Comma 6 5 4" xfId="412"/>
    <cellStyle name="Comma 7 5 4" xfId="413"/>
    <cellStyle name="Comma 8 5 4" xfId="414"/>
    <cellStyle name="Comma 9 5 4" xfId="415"/>
    <cellStyle name="Comma 28 5 4" xfId="416"/>
    <cellStyle name="Comma 3 6 3" xfId="417"/>
    <cellStyle name="Comma 2 7 3" xfId="418"/>
    <cellStyle name="Comma 10 6 3" xfId="419"/>
    <cellStyle name="Comma 11 6 3" xfId="420"/>
    <cellStyle name="Comma 12 6 3" xfId="421"/>
    <cellStyle name="Comma 13 6 3" xfId="422"/>
    <cellStyle name="Comma 14 6 3" xfId="423"/>
    <cellStyle name="Comma 15 6 3" xfId="424"/>
    <cellStyle name="Comma 16 6 3" xfId="425"/>
    <cellStyle name="Comma 17 6 3" xfId="426"/>
    <cellStyle name="Comma 18 6 3" xfId="427"/>
    <cellStyle name="Comma 19 6 3" xfId="428"/>
    <cellStyle name="Comma 20 6 3" xfId="429"/>
    <cellStyle name="Comma 21 6 3" xfId="430"/>
    <cellStyle name="Comma 22 6 3" xfId="431"/>
    <cellStyle name="Comma 24 6 3" xfId="432"/>
    <cellStyle name="Comma 25 6 3" xfId="433"/>
    <cellStyle name="Comma 26 6 3" xfId="434"/>
    <cellStyle name="Comma 27 6 3" xfId="435"/>
    <cellStyle name="Comma 4 6 3" xfId="436"/>
    <cellStyle name="Comma 5 6 3" xfId="437"/>
    <cellStyle name="Comma 6 6 3" xfId="438"/>
    <cellStyle name="Comma 7 6 3" xfId="439"/>
    <cellStyle name="Comma 8 6 3" xfId="440"/>
    <cellStyle name="Comma 9 6 3" xfId="441"/>
    <cellStyle name="Comma 28 6 3" xfId="442"/>
    <cellStyle name="Comma 3 4 2 3" xfId="443"/>
    <cellStyle name="Comma 2 5 2 3" xfId="444"/>
    <cellStyle name="Comma 10 4 2 3" xfId="445"/>
    <cellStyle name="Comma 11 4 2 3" xfId="446"/>
    <cellStyle name="Comma 12 4 2 3" xfId="447"/>
    <cellStyle name="Comma 13 4 2 3" xfId="448"/>
    <cellStyle name="Comma 14 4 2 3" xfId="449"/>
    <cellStyle name="Comma 15 4 2 3" xfId="450"/>
    <cellStyle name="Comma 16 4 2 3" xfId="451"/>
    <cellStyle name="Comma 17 4 2 3" xfId="452"/>
    <cellStyle name="Comma 18 4 2 3" xfId="453"/>
    <cellStyle name="Comma 19 4 2 3" xfId="454"/>
    <cellStyle name="Comma 20 4 2 3" xfId="455"/>
    <cellStyle name="Comma 21 4 2 3" xfId="456"/>
    <cellStyle name="Comma 22 4 2 3" xfId="457"/>
    <cellStyle name="Comma 23 4 2 3" xfId="458"/>
    <cellStyle name="Comma 24 4 2 3" xfId="459"/>
    <cellStyle name="Comma 25 4 2 3" xfId="460"/>
    <cellStyle name="Comma 26 4 2 3" xfId="461"/>
    <cellStyle name="Comma 27 4 2 3" xfId="462"/>
    <cellStyle name="Comma 4 4 2 3" xfId="463"/>
    <cellStyle name="Comma 5 4 2 3" xfId="464"/>
    <cellStyle name="Comma 6 4 2 3" xfId="465"/>
    <cellStyle name="Comma 7 4 2 3" xfId="466"/>
    <cellStyle name="Comma 8 4 2 3" xfId="467"/>
    <cellStyle name="Comma 9 4 2 3" xfId="468"/>
    <cellStyle name="Comma 28 4 2 3" xfId="469"/>
    <cellStyle name="Comma 2 2 4 2 3" xfId="470"/>
    <cellStyle name="Comma 3 3 2 3" xfId="471"/>
    <cellStyle name="Comma 2 4 2 3" xfId="472"/>
    <cellStyle name="Comma 10 3 2 3" xfId="473"/>
    <cellStyle name="Comma 11 3 2 3" xfId="474"/>
    <cellStyle name="Comma 12 3 2 3" xfId="475"/>
    <cellStyle name="Comma 13 3 2 3" xfId="476"/>
    <cellStyle name="Comma 14 3 2 3" xfId="477"/>
    <cellStyle name="Comma 15 3 2 3" xfId="478"/>
    <cellStyle name="Comma 16 3 2 3" xfId="479"/>
    <cellStyle name="Comma 17 3 2 3" xfId="480"/>
    <cellStyle name="Comma 18 3 2 3" xfId="481"/>
    <cellStyle name="Comma 19 3 2 3" xfId="482"/>
    <cellStyle name="Comma 20 3 2 3" xfId="483"/>
    <cellStyle name="Comma 21 3 2 3" xfId="484"/>
    <cellStyle name="Comma 22 3 2 3" xfId="485"/>
    <cellStyle name="Comma 23 3 2 3" xfId="486"/>
    <cellStyle name="Comma 24 3 2 3" xfId="487"/>
    <cellStyle name="Comma 25 3 2 3" xfId="488"/>
    <cellStyle name="Comma 26 3 2 3" xfId="489"/>
    <cellStyle name="Comma 27 3 2 3" xfId="490"/>
    <cellStyle name="Comma 4 3 2 3" xfId="491"/>
    <cellStyle name="Comma 5 3 2 3" xfId="492"/>
    <cellStyle name="Comma 6 3 2 3" xfId="493"/>
    <cellStyle name="Comma 7 3 2 3" xfId="494"/>
    <cellStyle name="Comma 8 3 2 3" xfId="495"/>
    <cellStyle name="Comma 9 3 2 3" xfId="496"/>
    <cellStyle name="Comma 28 3 2 3" xfId="497"/>
    <cellStyle name="Comma 2 2 3 2 3" xfId="498"/>
    <cellStyle name="Comma 3 2 2 3" xfId="499"/>
    <cellStyle name="Comma 2 3 2 3" xfId="500"/>
    <cellStyle name="Comma 10 2 2 3" xfId="501"/>
    <cellStyle name="Comma 11 2 2 3" xfId="502"/>
    <cellStyle name="Comma 12 2 2 3" xfId="503"/>
    <cellStyle name="Comma 13 2 2 3" xfId="504"/>
    <cellStyle name="Comma 14 2 2 3" xfId="505"/>
    <cellStyle name="Comma 15 2 2 3" xfId="506"/>
    <cellStyle name="Comma 16 2 2 3" xfId="507"/>
    <cellStyle name="Comma 17 2 2 3" xfId="508"/>
    <cellStyle name="Comma 18 2 2 3" xfId="509"/>
    <cellStyle name="Comma 19 2 2 3" xfId="510"/>
    <cellStyle name="Comma 20 2 2 3" xfId="511"/>
    <cellStyle name="Comma 21 2 2 3" xfId="512"/>
    <cellStyle name="Comma 22 2 2 3" xfId="513"/>
    <cellStyle name="Comma 23 2 2 3" xfId="514"/>
    <cellStyle name="Comma 24 2 2 3" xfId="515"/>
    <cellStyle name="Comma 25 2 2 3" xfId="516"/>
    <cellStyle name="Comma 26 2 2 3" xfId="517"/>
    <cellStyle name="Comma 27 2 2 3" xfId="518"/>
    <cellStyle name="Comma 4 2 2 3" xfId="519"/>
    <cellStyle name="Comma 5 2 2 3" xfId="520"/>
    <cellStyle name="Comma 6 2 2 3" xfId="521"/>
    <cellStyle name="Comma 7 2 2 3" xfId="522"/>
    <cellStyle name="Comma 8 2 2 3" xfId="523"/>
    <cellStyle name="Comma 9 2 2 3" xfId="524"/>
    <cellStyle name="Comma 28 2 2 3" xfId="525"/>
    <cellStyle name="Comma 2 2 2 2 3" xfId="526"/>
    <cellStyle name="Comma 3 5 2 3" xfId="527"/>
    <cellStyle name="Comma 2 6 2 3" xfId="528"/>
    <cellStyle name="Comma 10 5 2 3" xfId="529"/>
    <cellStyle name="Comma 11 5 2 3" xfId="530"/>
    <cellStyle name="Comma 12 5 2 3" xfId="531"/>
    <cellStyle name="Comma 13 5 2 3" xfId="532"/>
    <cellStyle name="Comma 14 5 2 3" xfId="533"/>
    <cellStyle name="Comma 15 5 2 3" xfId="534"/>
    <cellStyle name="Comma 16 5 2 3" xfId="535"/>
    <cellStyle name="Comma 17 5 2 3" xfId="536"/>
    <cellStyle name="Comma 18 5 2 3" xfId="537"/>
    <cellStyle name="Comma 19 5 2 3" xfId="538"/>
    <cellStyle name="Comma 20 5 2 3" xfId="539"/>
    <cellStyle name="Comma 21 5 2 3" xfId="540"/>
    <cellStyle name="Comma 22 5 2 3" xfId="541"/>
    <cellStyle name="Comma 24 5 2 3" xfId="542"/>
    <cellStyle name="Comma 25 5 2 3" xfId="543"/>
    <cellStyle name="Comma 26 5 2 3" xfId="544"/>
    <cellStyle name="Comma 27 5 2 3" xfId="545"/>
    <cellStyle name="Comma 4 5 2 3" xfId="546"/>
    <cellStyle name="Comma 5 5 2 3" xfId="547"/>
    <cellStyle name="Comma 6 5 2 3" xfId="548"/>
    <cellStyle name="Comma 7 5 2 3" xfId="549"/>
    <cellStyle name="Comma 8 5 2 3" xfId="550"/>
    <cellStyle name="Comma 9 5 2 3" xfId="551"/>
    <cellStyle name="Comma 28 5 2 3" xfId="552"/>
    <cellStyle name="Comma 29" xfId="553"/>
    <cellStyle name="Comma 3 7" xfId="554"/>
    <cellStyle name="Comma 2 8" xfId="555"/>
    <cellStyle name="Comma 10 7" xfId="556"/>
    <cellStyle name="Comma 11 7" xfId="557"/>
    <cellStyle name="Comma 12 7" xfId="558"/>
    <cellStyle name="Comma 13 7" xfId="559"/>
    <cellStyle name="Comma 14 7" xfId="560"/>
    <cellStyle name="Comma 15 7" xfId="561"/>
    <cellStyle name="Comma 16 7" xfId="562"/>
    <cellStyle name="Comma 17 7" xfId="563"/>
    <cellStyle name="Comma 18 7" xfId="564"/>
    <cellStyle name="Comma 19 7" xfId="565"/>
    <cellStyle name="Comma 20 7" xfId="566"/>
    <cellStyle name="Comma 21 7" xfId="567"/>
    <cellStyle name="Comma 22 7" xfId="568"/>
    <cellStyle name="Comma 24 7" xfId="569"/>
    <cellStyle name="Comma 25 7" xfId="570"/>
    <cellStyle name="Comma 26 7" xfId="571"/>
    <cellStyle name="Comma 27 7" xfId="572"/>
    <cellStyle name="Comma 4 7" xfId="573"/>
    <cellStyle name="Comma 5 7" xfId="574"/>
    <cellStyle name="Comma 6 7" xfId="575"/>
    <cellStyle name="Comma 7 7" xfId="576"/>
    <cellStyle name="Comma 8 7" xfId="577"/>
    <cellStyle name="Comma 9 7" xfId="578"/>
    <cellStyle name="Comma 28 7" xfId="579"/>
    <cellStyle name="Comma 3 4 3" xfId="580"/>
    <cellStyle name="Comma 2 5 3" xfId="581"/>
    <cellStyle name="Comma 10 4 3" xfId="582"/>
    <cellStyle name="Comma 11 4 3" xfId="583"/>
    <cellStyle name="Comma 12 4 3" xfId="584"/>
    <cellStyle name="Comma 13 4 3" xfId="585"/>
    <cellStyle name="Comma 14 4 3" xfId="586"/>
    <cellStyle name="Comma 15 4 3" xfId="587"/>
    <cellStyle name="Comma 16 4 3" xfId="588"/>
    <cellStyle name="Comma 17 4 3" xfId="589"/>
    <cellStyle name="Comma 18 4 3" xfId="590"/>
    <cellStyle name="Comma 19 4 3" xfId="591"/>
    <cellStyle name="Comma 20 4 3" xfId="592"/>
    <cellStyle name="Comma 21 4 3" xfId="593"/>
    <cellStyle name="Comma 22 4 3" xfId="594"/>
    <cellStyle name="Comma 23 4 3" xfId="595"/>
    <cellStyle name="Comma 24 4 3" xfId="596"/>
    <cellStyle name="Comma 25 4 3" xfId="597"/>
    <cellStyle name="Comma 26 4 3" xfId="598"/>
    <cellStyle name="Comma 27 4 3" xfId="599"/>
    <cellStyle name="Comma 4 4 3" xfId="600"/>
    <cellStyle name="Comma 5 4 3" xfId="601"/>
    <cellStyle name="Comma 6 4 3" xfId="602"/>
    <cellStyle name="Comma 7 4 3" xfId="603"/>
    <cellStyle name="Comma 8 4 3" xfId="604"/>
    <cellStyle name="Comma 9 4 3" xfId="605"/>
    <cellStyle name="Comma 28 4 3" xfId="606"/>
    <cellStyle name="Comma 2 2 4 3" xfId="607"/>
    <cellStyle name="Comma 3 3 3" xfId="608"/>
    <cellStyle name="Comma 2 4 3" xfId="609"/>
    <cellStyle name="Comma 10 3 3" xfId="610"/>
    <cellStyle name="Comma 11 3 3" xfId="611"/>
    <cellStyle name="Comma 12 3 3" xfId="612"/>
    <cellStyle name="Comma 13 3 3" xfId="613"/>
    <cellStyle name="Comma 14 3 3" xfId="614"/>
    <cellStyle name="Comma 15 3 3" xfId="615"/>
    <cellStyle name="Comma 16 3 3" xfId="616"/>
    <cellStyle name="Comma 17 3 3" xfId="617"/>
    <cellStyle name="Comma 18 3 3" xfId="618"/>
    <cellStyle name="Comma 19 3 3" xfId="619"/>
    <cellStyle name="Comma 20 3 3" xfId="620"/>
    <cellStyle name="Comma 21 3 3" xfId="621"/>
    <cellStyle name="Comma 22 3 3" xfId="622"/>
    <cellStyle name="Comma 23 3 3" xfId="623"/>
    <cellStyle name="Comma 24 3 3" xfId="624"/>
    <cellStyle name="Comma 25 3 3" xfId="625"/>
    <cellStyle name="Comma 26 3 3" xfId="626"/>
    <cellStyle name="Comma 27 3 3" xfId="627"/>
    <cellStyle name="Comma 4 3 3" xfId="628"/>
    <cellStyle name="Comma 5 3 3" xfId="629"/>
    <cellStyle name="Comma 6 3 3" xfId="630"/>
    <cellStyle name="Comma 7 3 3" xfId="631"/>
    <cellStyle name="Comma 8 3 3" xfId="632"/>
    <cellStyle name="Comma 9 3 3" xfId="633"/>
    <cellStyle name="Comma 28 3 3" xfId="634"/>
    <cellStyle name="Comma 2 2 3 3" xfId="635"/>
    <cellStyle name="Comma 3 2 3" xfId="636"/>
    <cellStyle name="Comma 2 3 3" xfId="637"/>
    <cellStyle name="Comma 10 2 3" xfId="638"/>
    <cellStyle name="Comma 11 2 3" xfId="639"/>
    <cellStyle name="Comma 12 2 3" xfId="640"/>
    <cellStyle name="Comma 13 2 3" xfId="641"/>
    <cellStyle name="Comma 14 2 3" xfId="642"/>
    <cellStyle name="Comma 15 2 3" xfId="643"/>
    <cellStyle name="Comma 16 2 3" xfId="644"/>
    <cellStyle name="Comma 17 2 3" xfId="645"/>
    <cellStyle name="Comma 18 2 3" xfId="646"/>
    <cellStyle name="Comma 19 2 3" xfId="647"/>
    <cellStyle name="Comma 20 2 3" xfId="648"/>
    <cellStyle name="Comma 21 2 3" xfId="649"/>
    <cellStyle name="Comma 22 2 3" xfId="650"/>
    <cellStyle name="Comma 23 2 3" xfId="651"/>
    <cellStyle name="Comma 24 2 3" xfId="652"/>
    <cellStyle name="Comma 25 2 3" xfId="653"/>
    <cellStyle name="Comma 26 2 3" xfId="654"/>
    <cellStyle name="Comma 27 2 3" xfId="655"/>
    <cellStyle name="Comma 4 2 3" xfId="656"/>
    <cellStyle name="Comma 5 2 3" xfId="657"/>
    <cellStyle name="Comma 6 2 3" xfId="658"/>
    <cellStyle name="Comma 7 2 3" xfId="659"/>
    <cellStyle name="Comma 8 2 3" xfId="660"/>
    <cellStyle name="Comma 9 2 3" xfId="661"/>
    <cellStyle name="Comma 28 2 3" xfId="662"/>
    <cellStyle name="Comma 2 2 2 3" xfId="663"/>
    <cellStyle name="Comma 3 5 3" xfId="664"/>
    <cellStyle name="Comma 2 6 3" xfId="665"/>
    <cellStyle name="Comma 10 5 3" xfId="666"/>
    <cellStyle name="Comma 11 5 3" xfId="667"/>
    <cellStyle name="Comma 12 5 3" xfId="668"/>
    <cellStyle name="Comma 13 5 3" xfId="669"/>
    <cellStyle name="Comma 14 5 3" xfId="670"/>
    <cellStyle name="Comma 15 5 3" xfId="671"/>
    <cellStyle name="Comma 16 5 3" xfId="672"/>
    <cellStyle name="Comma 17 5 3" xfId="673"/>
    <cellStyle name="Comma 18 5 3" xfId="674"/>
    <cellStyle name="Comma 19 5 3" xfId="675"/>
    <cellStyle name="Comma 20 5 3" xfId="676"/>
    <cellStyle name="Comma 21 5 3" xfId="677"/>
    <cellStyle name="Comma 22 5 3" xfId="678"/>
    <cellStyle name="Comma 24 5 3" xfId="679"/>
    <cellStyle name="Comma 25 5 3" xfId="680"/>
    <cellStyle name="Comma 26 5 3" xfId="681"/>
    <cellStyle name="Comma 27 5 3" xfId="682"/>
    <cellStyle name="Comma 4 5 3" xfId="683"/>
    <cellStyle name="Comma 5 5 3" xfId="684"/>
    <cellStyle name="Comma 6 5 3" xfId="685"/>
    <cellStyle name="Comma 7 5 3" xfId="686"/>
    <cellStyle name="Comma 8 5 3" xfId="687"/>
    <cellStyle name="Comma 9 5 3" xfId="688"/>
    <cellStyle name="Comma 28 5 3" xfId="689"/>
    <cellStyle name="Comma 3 6 2" xfId="690"/>
    <cellStyle name="Comma 2 7 2" xfId="691"/>
    <cellStyle name="Comma 10 6 2" xfId="692"/>
    <cellStyle name="Comma 11 6 2" xfId="693"/>
    <cellStyle name="Comma 12 6 2" xfId="694"/>
    <cellStyle name="Comma 13 6 2" xfId="695"/>
    <cellStyle name="Comma 14 6 2" xfId="696"/>
    <cellStyle name="Comma 15 6 2" xfId="697"/>
    <cellStyle name="Comma 16 6 2" xfId="698"/>
    <cellStyle name="Comma 17 6 2" xfId="699"/>
    <cellStyle name="Comma 18 6 2" xfId="700"/>
    <cellStyle name="Comma 19 6 2" xfId="701"/>
    <cellStyle name="Comma 20 6 2" xfId="702"/>
    <cellStyle name="Comma 21 6 2" xfId="703"/>
    <cellStyle name="Comma 22 6 2" xfId="704"/>
    <cellStyle name="Comma 24 6 2" xfId="705"/>
    <cellStyle name="Comma 25 6 2" xfId="706"/>
    <cellStyle name="Comma 26 6 2" xfId="707"/>
    <cellStyle name="Comma 27 6 2" xfId="708"/>
    <cellStyle name="Comma 4 6 2" xfId="709"/>
    <cellStyle name="Comma 5 6 2" xfId="710"/>
    <cellStyle name="Comma 6 6 2" xfId="711"/>
    <cellStyle name="Comma 7 6 2" xfId="712"/>
    <cellStyle name="Comma 8 6 2" xfId="713"/>
    <cellStyle name="Comma 9 6 2" xfId="714"/>
    <cellStyle name="Comma 28 6 2" xfId="715"/>
    <cellStyle name="Comma 3 4 2 2" xfId="716"/>
    <cellStyle name="Comma 2 5 2 2" xfId="717"/>
    <cellStyle name="Comma 10 4 2 2" xfId="718"/>
    <cellStyle name="Comma 11 4 2 2" xfId="719"/>
    <cellStyle name="Comma 12 4 2 2" xfId="720"/>
    <cellStyle name="Comma 13 4 2 2" xfId="721"/>
    <cellStyle name="Comma 14 4 2 2" xfId="722"/>
    <cellStyle name="Comma 15 4 2 2" xfId="723"/>
    <cellStyle name="Comma 16 4 2 2" xfId="724"/>
    <cellStyle name="Comma 17 4 2 2" xfId="725"/>
    <cellStyle name="Comma 18 4 2 2" xfId="726"/>
    <cellStyle name="Comma 19 4 2 2" xfId="727"/>
    <cellStyle name="Comma 20 4 2 2" xfId="728"/>
    <cellStyle name="Comma 21 4 2 2" xfId="729"/>
    <cellStyle name="Comma 22 4 2 2" xfId="730"/>
    <cellStyle name="Comma 23 4 2 2" xfId="731"/>
    <cellStyle name="Comma 24 4 2 2" xfId="732"/>
    <cellStyle name="Comma 25 4 2 2" xfId="733"/>
    <cellStyle name="Comma 26 4 2 2" xfId="734"/>
    <cellStyle name="Comma 27 4 2 2" xfId="735"/>
    <cellStyle name="Comma 4 4 2 2" xfId="736"/>
    <cellStyle name="Comma 5 4 2 2" xfId="737"/>
    <cellStyle name="Comma 6 4 2 2" xfId="738"/>
    <cellStyle name="Comma 7 4 2 2" xfId="739"/>
    <cellStyle name="Comma 8 4 2 2" xfId="740"/>
    <cellStyle name="Comma 9 4 2 2" xfId="741"/>
    <cellStyle name="Comma 28 4 2 2" xfId="742"/>
    <cellStyle name="Comma 2 2 4 2 2" xfId="743"/>
    <cellStyle name="Comma 3 3 2 2" xfId="744"/>
    <cellStyle name="Comma 2 4 2 2" xfId="745"/>
    <cellStyle name="Comma 10 3 2 2" xfId="746"/>
    <cellStyle name="Comma 11 3 2 2" xfId="747"/>
    <cellStyle name="Comma 12 3 2 2" xfId="748"/>
    <cellStyle name="Comma 13 3 2 2" xfId="749"/>
    <cellStyle name="Comma 14 3 2 2" xfId="750"/>
    <cellStyle name="Comma 15 3 2 2" xfId="751"/>
    <cellStyle name="Comma 16 3 2 2" xfId="752"/>
    <cellStyle name="Comma 17 3 2 2" xfId="753"/>
    <cellStyle name="Comma 18 3 2 2" xfId="754"/>
    <cellStyle name="Comma 19 3 2 2" xfId="755"/>
    <cellStyle name="Comma 20 3 2 2" xfId="756"/>
    <cellStyle name="Comma 21 3 2 2" xfId="757"/>
    <cellStyle name="Comma 22 3 2 2" xfId="758"/>
    <cellStyle name="Comma 23 3 2 2" xfId="759"/>
    <cellStyle name="Comma 24 3 2 2" xfId="760"/>
    <cellStyle name="Comma 25 3 2 2" xfId="761"/>
    <cellStyle name="Comma 26 3 2 2" xfId="762"/>
    <cellStyle name="Comma 27 3 2 2" xfId="763"/>
    <cellStyle name="Comma 4 3 2 2" xfId="764"/>
    <cellStyle name="Comma 5 3 2 2" xfId="765"/>
    <cellStyle name="Comma 6 3 2 2" xfId="766"/>
    <cellStyle name="Comma 7 3 2 2" xfId="767"/>
    <cellStyle name="Comma 8 3 2 2" xfId="768"/>
    <cellStyle name="Comma 9 3 2 2" xfId="769"/>
    <cellStyle name="Comma 28 3 2 2" xfId="770"/>
    <cellStyle name="Comma 2 2 3 2 2" xfId="771"/>
    <cellStyle name="Comma 3 2 2 2" xfId="772"/>
    <cellStyle name="Comma 2 3 2 2" xfId="773"/>
    <cellStyle name="Comma 10 2 2 2" xfId="774"/>
    <cellStyle name="Comma 11 2 2 2" xfId="775"/>
    <cellStyle name="Comma 12 2 2 2" xfId="776"/>
    <cellStyle name="Comma 13 2 2 2" xfId="777"/>
    <cellStyle name="Comma 14 2 2 2" xfId="778"/>
    <cellStyle name="Comma 15 2 2 2" xfId="779"/>
    <cellStyle name="Comma 16 2 2 2" xfId="780"/>
    <cellStyle name="Comma 17 2 2 2" xfId="781"/>
    <cellStyle name="Comma 18 2 2 2" xfId="782"/>
    <cellStyle name="Comma 19 2 2 2" xfId="783"/>
    <cellStyle name="Comma 20 2 2 2" xfId="784"/>
    <cellStyle name="Comma 21 2 2 2" xfId="785"/>
    <cellStyle name="Comma 22 2 2 2" xfId="786"/>
    <cellStyle name="Comma 23 2 2 2" xfId="787"/>
    <cellStyle name="Comma 24 2 2 2" xfId="788"/>
    <cellStyle name="Comma 25 2 2 2" xfId="789"/>
    <cellStyle name="Comma 26 2 2 2" xfId="790"/>
    <cellStyle name="Comma 27 2 2 2" xfId="791"/>
    <cellStyle name="Comma 4 2 2 2" xfId="792"/>
    <cellStyle name="Comma 5 2 2 2" xfId="793"/>
    <cellStyle name="Comma 6 2 2 2" xfId="794"/>
    <cellStyle name="Comma 7 2 2 2" xfId="795"/>
    <cellStyle name="Comma 8 2 2 2" xfId="796"/>
    <cellStyle name="Comma 9 2 2 2" xfId="797"/>
    <cellStyle name="Comma 28 2 2 2" xfId="798"/>
    <cellStyle name="Comma 2 2 2 2 2" xfId="799"/>
    <cellStyle name="Comma 3 5 2 2" xfId="800"/>
    <cellStyle name="Comma 2 6 2 2" xfId="801"/>
    <cellStyle name="Comma 10 5 2 2" xfId="802"/>
    <cellStyle name="Comma 11 5 2 2" xfId="803"/>
    <cellStyle name="Comma 12 5 2 2" xfId="804"/>
    <cellStyle name="Comma 13 5 2 2" xfId="805"/>
    <cellStyle name="Comma 14 5 2 2" xfId="806"/>
    <cellStyle name="Comma 15 5 2 2" xfId="807"/>
    <cellStyle name="Comma 16 5 2 2" xfId="808"/>
    <cellStyle name="Comma 17 5 2 2" xfId="809"/>
    <cellStyle name="Comma 18 5 2 2" xfId="810"/>
    <cellStyle name="Comma 19 5 2 2" xfId="811"/>
    <cellStyle name="Comma 20 5 2 2" xfId="812"/>
    <cellStyle name="Comma 21 5 2 2" xfId="813"/>
    <cellStyle name="Comma 22 5 2 2" xfId="814"/>
    <cellStyle name="Comma 24 5 2 2" xfId="815"/>
    <cellStyle name="Comma 25 5 2 2" xfId="816"/>
    <cellStyle name="Comma 26 5 2 2" xfId="817"/>
    <cellStyle name="Comma 27 5 2 2" xfId="818"/>
    <cellStyle name="Comma 4 5 2 2" xfId="819"/>
    <cellStyle name="Comma 5 5 2 2" xfId="820"/>
    <cellStyle name="Comma 6 5 2 2" xfId="821"/>
    <cellStyle name="Comma 7 5 2 2" xfId="822"/>
    <cellStyle name="Comma 8 5 2 2" xfId="823"/>
    <cellStyle name="Comma 9 5 2 2" xfId="824"/>
    <cellStyle name="Comma 28 5 2 2" xfId="82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view="pageBreakPreview" topLeftCell="A4" zoomScale="85" zoomScaleNormal="100" zoomScaleSheetLayoutView="85" workbookViewId="0">
      <selection activeCell="A12" sqref="A12:XFD27"/>
    </sheetView>
  </sheetViews>
  <sheetFormatPr baseColWidth="8" defaultColWidth="9.140625" defaultRowHeight="17.25"/>
  <cols>
    <col width="11.28515625" customWidth="1" style="2" min="1" max="1"/>
    <col width="50.7109375" customWidth="1" style="1" min="2" max="2"/>
    <col width="21.28515625" customWidth="1" style="1" min="3" max="3"/>
    <col width="24.5703125" customWidth="1" style="1" min="4" max="4"/>
    <col width="20.7109375" customWidth="1" style="1" min="5" max="5"/>
    <col width="10" customWidth="1" style="21" min="6" max="6"/>
    <col width="10.5703125" customWidth="1" style="21" min="7" max="7"/>
    <col width="13.140625" customWidth="1" style="1" min="8" max="9"/>
    <col width="9.140625" customWidth="1" style="28" min="10" max="10"/>
    <col width="10.42578125" bestFit="1" customWidth="1" style="12" min="11" max="11"/>
    <col width="9.140625" customWidth="1" style="18" min="12" max="12"/>
    <col width="9.5703125" customWidth="1" style="8" min="13" max="13"/>
    <col width="11.5703125" bestFit="1" customWidth="1" style="15" min="14" max="14"/>
    <col width="9.140625" customWidth="1" style="1" min="15" max="15"/>
    <col width="9.140625" customWidth="1" style="20" min="16" max="16"/>
    <col width="9.140625" customWidth="1" style="1" min="17" max="16384"/>
  </cols>
  <sheetData>
    <row r="1" ht="21" customHeight="1">
      <c r="A1" s="43" t="inlineStr">
        <is>
          <t>QUOTATION</t>
        </is>
      </c>
      <c r="B1" s="44" t="n"/>
      <c r="C1" s="44" t="n"/>
      <c r="D1" s="44" t="n"/>
      <c r="E1" s="44" t="n"/>
      <c r="F1" s="44" t="n"/>
      <c r="G1" s="44" t="n"/>
      <c r="H1" s="44" t="n"/>
      <c r="I1" s="45" t="n"/>
      <c r="J1" s="27" t="n"/>
      <c r="K1" s="11" t="n"/>
      <c r="L1" s="17" t="n"/>
      <c r="M1" s="7" t="n"/>
      <c r="N1" s="14" t="n"/>
    </row>
    <row r="2" ht="20.1" customHeight="1">
      <c r="A2" s="3" t="inlineStr">
        <is>
          <t>To:</t>
        </is>
      </c>
      <c r="B2" s="46" t="n"/>
      <c r="C2" s="47" t="n"/>
      <c r="D2" s="3" t="inlineStr">
        <is>
          <t>Quotation Ref:</t>
        </is>
      </c>
      <c r="E2" s="46" t="inlineStr">
        <is>
          <t>DBQ-25</t>
        </is>
      </c>
      <c r="F2" s="48" t="n"/>
      <c r="G2" s="48" t="n"/>
      <c r="H2" s="48" t="n"/>
      <c r="I2" s="47" t="n"/>
    </row>
    <row r="3" ht="24" customHeight="1">
      <c r="A3" s="3" t="inlineStr">
        <is>
          <t>Attn:</t>
        </is>
      </c>
      <c r="B3" s="46" t="n"/>
      <c r="C3" s="47" t="n"/>
      <c r="D3" s="3" t="inlineStr">
        <is>
          <t>Quotation Date:</t>
        </is>
      </c>
      <c r="E3" s="49" t="n"/>
      <c r="F3" s="48" t="n"/>
      <c r="G3" s="48" t="n"/>
      <c r="H3" s="48" t="n"/>
      <c r="I3" s="47" t="n"/>
    </row>
    <row r="4" ht="19.5" customHeight="1">
      <c r="A4" s="4" t="inlineStr">
        <is>
          <t xml:space="preserve">Mobile: </t>
        </is>
      </c>
      <c r="B4" s="46" t="n"/>
      <c r="C4" s="47" t="n"/>
      <c r="D4" s="4" t="inlineStr">
        <is>
          <t>Subject:</t>
        </is>
      </c>
      <c r="E4" s="50" t="inlineStr">
        <is>
          <t xml:space="preserve">Offer for </t>
        </is>
      </c>
      <c r="F4" s="48" t="n"/>
      <c r="G4" s="48" t="n"/>
      <c r="H4" s="48" t="n"/>
      <c r="I4" s="47" t="n"/>
    </row>
    <row r="5" ht="20.1" customHeight="1">
      <c r="A5" s="3" t="inlineStr">
        <is>
          <t>Email:</t>
        </is>
      </c>
      <c r="B5" s="51" t="n"/>
      <c r="C5" s="47" t="n"/>
      <c r="D5" s="3" t="inlineStr">
        <is>
          <t>Your Ref:</t>
        </is>
      </c>
      <c r="E5" s="46" t="n"/>
      <c r="F5" s="48" t="n"/>
      <c r="G5" s="48" t="n"/>
      <c r="H5" s="48" t="n"/>
      <c r="I5" s="47" t="n"/>
    </row>
    <row r="6" ht="20.1" customHeight="1">
      <c r="A6" s="3" t="inlineStr">
        <is>
          <t>From:</t>
        </is>
      </c>
      <c r="B6" s="46" t="inlineStr">
        <is>
          <t>Mr. Husain Abdul Kadir/ +971 54 337 3553</t>
        </is>
      </c>
      <c r="C6" s="47" t="n"/>
      <c r="D6" s="3" t="inlineStr">
        <is>
          <t>Dated:</t>
        </is>
      </c>
      <c r="E6" s="49" t="n"/>
      <c r="F6" s="48" t="n"/>
      <c r="G6" s="48" t="n"/>
      <c r="H6" s="48" t="n"/>
      <c r="I6" s="47" t="n"/>
    </row>
    <row r="7" ht="8.25" customHeight="1">
      <c r="A7" s="22" t="n"/>
      <c r="I7" s="23" t="n"/>
    </row>
    <row r="8">
      <c r="A8" s="24" t="inlineStr">
        <is>
          <t>Good Day ,</t>
        </is>
      </c>
      <c r="F8" s="25" t="n"/>
      <c r="G8" s="25" t="n"/>
      <c r="I8" s="26" t="n"/>
    </row>
    <row r="9">
      <c r="A9" s="52" t="inlineStr">
        <is>
          <t>Thank you for your enquiry, we are pleased to offer the following in line with your requirement.</t>
        </is>
      </c>
      <c r="I9" s="26" t="n"/>
    </row>
    <row r="10" ht="10.5" customHeight="1">
      <c r="A10" s="22" t="n"/>
      <c r="I10" s="23" t="n"/>
    </row>
    <row r="11" ht="42" customHeight="1">
      <c r="A11" s="5" t="inlineStr">
        <is>
          <t>SL. No.</t>
        </is>
      </c>
      <c r="B11" s="5" t="inlineStr">
        <is>
          <t>Description</t>
        </is>
      </c>
      <c r="C11" s="5" t="inlineStr">
        <is>
          <t>Brand &amp; Model</t>
        </is>
      </c>
      <c r="D11" s="5" t="inlineStr">
        <is>
          <t>Image</t>
        </is>
      </c>
      <c r="E11" s="5" t="inlineStr">
        <is>
          <t>Delivery Lead Time</t>
        </is>
      </c>
      <c r="F11" s="5" t="inlineStr">
        <is>
          <t>Qty</t>
        </is>
      </c>
      <c r="G11" s="5" t="inlineStr">
        <is>
          <t>Unit</t>
        </is>
      </c>
      <c r="H11" s="5" t="inlineStr">
        <is>
          <t>Unit Price (AED)</t>
        </is>
      </c>
      <c r="I11" s="5" t="inlineStr">
        <is>
          <t>Total Price (AED)</t>
        </is>
      </c>
      <c r="J11" s="6" t="n"/>
      <c r="K11" s="13" t="inlineStr">
        <is>
          <t>CP</t>
        </is>
      </c>
      <c r="L11" s="19" t="inlineStr">
        <is>
          <t>%</t>
        </is>
      </c>
      <c r="M11" s="9" t="inlineStr">
        <is>
          <t>Profit in AED</t>
        </is>
      </c>
      <c r="N11" s="16" t="inlineStr">
        <is>
          <t>SP</t>
        </is>
      </c>
      <c r="O11" s="10" t="n"/>
    </row>
    <row r="12" ht="140" customHeight="1">
      <c r="A12" s="53" t="n">
        <v>1</v>
      </c>
      <c r="B1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Filter Astral Cantabric Collector Anssembly Co.No 15783R0200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2" s="53" t="inlineStr"/>
      <c r="D12" s="53" t="n"/>
      <c r="E12" s="55" t="inlineStr">
        <is>
          <t>Ex stock, subject to prior sales.</t>
        </is>
      </c>
      <c r="F12" s="56" t="n">
        <v>1</v>
      </c>
      <c r="G12" s="57" t="inlineStr">
        <is>
          <t>Each</t>
        </is>
      </c>
      <c r="H12" s="56" t="n">
        <v>0</v>
      </c>
      <c r="I12" s="56">
        <f>F12*H12</f>
        <v/>
      </c>
      <c r="J12" s="53" t="n"/>
      <c r="K12" s="56" t="n">
        <v>0</v>
      </c>
      <c r="L12" s="58" t="n">
        <v>0</v>
      </c>
      <c r="M12" s="59">
        <f>(N12-K12)*F12</f>
        <v/>
      </c>
      <c r="N12" s="56">
        <f>K12*(1+L12)</f>
        <v/>
      </c>
    </row>
    <row r="13" ht="140" customHeight="1">
      <c r="A13" s="53" t="n">
        <v>2</v>
      </c>
      <c r="B1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Pre-Rinse Shower Unit Sky (Plastic 250Mm,Made By Rdf Italy)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3" s="53" t="inlineStr"/>
      <c r="D13" s="53" t="n"/>
      <c r="E13" s="55" t="inlineStr">
        <is>
          <t>Ex stock, subject to prior sales.</t>
        </is>
      </c>
      <c r="F13" s="56" t="n">
        <v>3</v>
      </c>
      <c r="G13" s="57" t="inlineStr">
        <is>
          <t>Each</t>
        </is>
      </c>
      <c r="H13" s="56" t="n">
        <v>0</v>
      </c>
      <c r="I13" s="56">
        <f>F13*H13</f>
        <v/>
      </c>
      <c r="J13" s="53" t="n"/>
      <c r="K13" s="56" t="n">
        <v>0</v>
      </c>
      <c r="L13" s="58" t="n">
        <v>0</v>
      </c>
      <c r="M13" s="59">
        <f>(N13-K13)*F13</f>
        <v/>
      </c>
      <c r="N13" s="56">
        <f>K13*(1+L13)</f>
        <v/>
      </c>
    </row>
    <row r="14" ht="140" customHeight="1">
      <c r="A14" s="53" t="n">
        <v>3</v>
      </c>
      <c r="B1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Wc Full Set P Trap Type Two Piece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4" s="53" t="inlineStr"/>
      <c r="D14" s="53" t="n"/>
      <c r="E14" s="55" t="inlineStr">
        <is>
          <t>Ex stock, subject to prior sales.</t>
        </is>
      </c>
      <c r="F14" s="56" t="n">
        <v>2</v>
      </c>
      <c r="G14" s="57" t="inlineStr">
        <is>
          <t>Each</t>
        </is>
      </c>
      <c r="H14" s="56" t="n">
        <v>0</v>
      </c>
      <c r="I14" s="56">
        <f>F14*H14</f>
        <v/>
      </c>
      <c r="J14" s="53" t="n"/>
      <c r="K14" s="56" t="n">
        <v>0</v>
      </c>
      <c r="L14" s="58" t="n">
        <v>0</v>
      </c>
      <c r="M14" s="59">
        <f>(N14-K14)*F14</f>
        <v/>
      </c>
      <c r="N14" s="56">
        <f>K14*(1+L14)</f>
        <v/>
      </c>
    </row>
    <row r="15" ht="140" customHeight="1">
      <c r="A15" s="53" t="n">
        <v>4</v>
      </c>
      <c r="B1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Automatic Water Level Controller (Code 49A002 For Press Mach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5" s="53" t="inlineStr"/>
      <c r="D15" s="53" t="n"/>
      <c r="E15" s="55" t="inlineStr">
        <is>
          <t>Ex stock, subject to prior sales.</t>
        </is>
      </c>
      <c r="F15" s="56" t="n">
        <v>5</v>
      </c>
      <c r="G15" s="57" t="inlineStr">
        <is>
          <t>Each</t>
        </is>
      </c>
      <c r="H15" s="56" t="n">
        <v>0</v>
      </c>
      <c r="I15" s="56">
        <f>F15*H15</f>
        <v/>
      </c>
      <c r="J15" s="53" t="n"/>
      <c r="K15" s="56" t="n">
        <v>0</v>
      </c>
      <c r="L15" s="58" t="n">
        <v>0</v>
      </c>
      <c r="M15" s="59">
        <f>(N15-K15)*F15</f>
        <v/>
      </c>
      <c r="N15" s="56">
        <f>K15*(1+L15)</f>
        <v/>
      </c>
    </row>
    <row r="16" ht="140" customHeight="1">
      <c r="A16" s="53" t="n">
        <v>5</v>
      </c>
      <c r="B1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Compressor AE4430Y - FZ1A R (134A Gas) LRA 11.5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6" s="53" t="inlineStr"/>
      <c r="D16" s="53" t="n"/>
      <c r="E16" s="55" t="inlineStr">
        <is>
          <t>Ex stock, subject to prior sales.</t>
        </is>
      </c>
      <c r="F16" s="56" t="n">
        <v>2</v>
      </c>
      <c r="G16" s="57" t="inlineStr">
        <is>
          <t>Each</t>
        </is>
      </c>
      <c r="H16" s="56" t="n">
        <v>0</v>
      </c>
      <c r="I16" s="56">
        <f>F16*H16</f>
        <v/>
      </c>
      <c r="J16" s="53" t="n"/>
      <c r="K16" s="56" t="n">
        <v>0</v>
      </c>
      <c r="L16" s="58" t="n">
        <v>0</v>
      </c>
      <c r="M16" s="59">
        <f>(N16-K16)*F16</f>
        <v/>
      </c>
      <c r="N16" s="56">
        <f>K16*(1+L16)</f>
        <v/>
      </c>
    </row>
    <row r="17" ht="140" customHeight="1">
      <c r="A17" s="53" t="n">
        <v>6</v>
      </c>
      <c r="B17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Compressor AE4430Z GS1A R404A LRA 14.5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7" s="53" t="inlineStr"/>
      <c r="D17" s="53" t="n"/>
      <c r="E17" s="55" t="inlineStr">
        <is>
          <t>Ex stock, subject to prior sales.</t>
        </is>
      </c>
      <c r="F17" s="56" t="n">
        <v>2</v>
      </c>
      <c r="G17" s="57" t="inlineStr">
        <is>
          <t>Each</t>
        </is>
      </c>
      <c r="H17" s="56" t="n">
        <v>0</v>
      </c>
      <c r="I17" s="56">
        <f>F17*H17</f>
        <v/>
      </c>
      <c r="J17" s="53" t="n"/>
      <c r="K17" s="56" t="n">
        <v>0</v>
      </c>
      <c r="L17" s="58" t="n">
        <v>0</v>
      </c>
      <c r="M17" s="59">
        <f>(N17-K17)*F17</f>
        <v/>
      </c>
      <c r="N17" s="56">
        <f>K17*(1+L17)</f>
        <v/>
      </c>
    </row>
    <row r="18" ht="140" customHeight="1">
      <c r="A18" s="53" t="n">
        <v>7</v>
      </c>
      <c r="B18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Compressor SC21CL R 404L 220-240V For Upright Chiller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8" s="53" t="inlineStr"/>
      <c r="D18" s="53" t="n"/>
      <c r="E18" s="55" t="inlineStr">
        <is>
          <t>Ex stock, subject to prior sales.</t>
        </is>
      </c>
      <c r="F18" s="56" t="n">
        <v>2</v>
      </c>
      <c r="G18" s="57" t="inlineStr">
        <is>
          <t>Each</t>
        </is>
      </c>
      <c r="H18" s="56" t="n">
        <v>0</v>
      </c>
      <c r="I18" s="56">
        <f>F18*H18</f>
        <v/>
      </c>
      <c r="J18" s="53" t="n"/>
      <c r="K18" s="56" t="n">
        <v>0</v>
      </c>
      <c r="L18" s="58" t="n">
        <v>0</v>
      </c>
      <c r="M18" s="59">
        <f>(N18-K18)*F18</f>
        <v/>
      </c>
      <c r="N18" s="56">
        <f>K18*(1+L18)</f>
        <v/>
      </c>
    </row>
    <row r="19" ht="140" customHeight="1">
      <c r="A19" s="53" t="n">
        <v>8</v>
      </c>
      <c r="B19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Gas Control Valve PEL21S CE0085 AQ0608 for Gas Stove Burner (Commercial Copper Cooker LPG Gas 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9" s="53" t="inlineStr"/>
      <c r="D19" s="53" t="n"/>
      <c r="E19" s="55" t="inlineStr">
        <is>
          <t>Ex stock, subject to prior sales.</t>
        </is>
      </c>
      <c r="F19" s="56" t="n">
        <v>10</v>
      </c>
      <c r="G19" s="57" t="inlineStr">
        <is>
          <t>Each</t>
        </is>
      </c>
      <c r="H19" s="56" t="n">
        <v>0</v>
      </c>
      <c r="I19" s="56">
        <f>F19*H19</f>
        <v/>
      </c>
      <c r="J19" s="53" t="n"/>
      <c r="K19" s="56" t="n">
        <v>0</v>
      </c>
      <c r="L19" s="58" t="n">
        <v>0</v>
      </c>
      <c r="M19" s="59">
        <f>(N19-K19)*F19</f>
        <v/>
      </c>
      <c r="N19" s="56">
        <f>K19*(1+L19)</f>
        <v/>
      </c>
    </row>
    <row r="20" ht="140" customHeight="1">
      <c r="A20" s="53" t="n">
        <v>9</v>
      </c>
      <c r="B20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Water Level Control Gasket D5 6 Holes D12 - Model:Tornado A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0" s="53" t="inlineStr"/>
      <c r="D20" s="53" t="n"/>
      <c r="E20" s="55" t="inlineStr">
        <is>
          <t>Ex stock, subject to prior sales.</t>
        </is>
      </c>
      <c r="F20" s="56" t="n">
        <v>6</v>
      </c>
      <c r="G20" s="57" t="inlineStr">
        <is>
          <t>Each</t>
        </is>
      </c>
      <c r="H20" s="56" t="n">
        <v>0</v>
      </c>
      <c r="I20" s="56">
        <f>F20*H20</f>
        <v/>
      </c>
      <c r="J20" s="53" t="n"/>
      <c r="K20" s="56" t="n">
        <v>0</v>
      </c>
      <c r="L20" s="58" t="n">
        <v>0</v>
      </c>
      <c r="M20" s="59">
        <f>(N20-K20)*F20</f>
        <v/>
      </c>
      <c r="N20" s="56">
        <f>K20*(1+L20)</f>
        <v/>
      </c>
    </row>
    <row r="21" ht="140" customHeight="1">
      <c r="A21" s="53" t="n">
        <v>10</v>
      </c>
      <c r="B21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AC Outdoor Motor YDK55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1" s="53" t="inlineStr"/>
      <c r="D21" s="53" t="n"/>
      <c r="E21" s="55" t="inlineStr">
        <is>
          <t>Ex stock, subject to prior sales.</t>
        </is>
      </c>
      <c r="F21" s="56" t="n">
        <v>3</v>
      </c>
      <c r="G21" s="57" t="inlineStr">
        <is>
          <t>Each</t>
        </is>
      </c>
      <c r="H21" s="56" t="n">
        <v>0</v>
      </c>
      <c r="I21" s="56">
        <f>F21*H21</f>
        <v/>
      </c>
      <c r="J21" s="53" t="n"/>
      <c r="K21" s="56" t="n">
        <v>0</v>
      </c>
      <c r="L21" s="58" t="n">
        <v>0</v>
      </c>
      <c r="M21" s="59">
        <f>(N21-K21)*F21</f>
        <v/>
      </c>
      <c r="N21" s="56">
        <f>K21*(1+L21)</f>
        <v/>
      </c>
    </row>
    <row r="22" ht="140" customHeight="1">
      <c r="A22" s="53" t="n">
        <v>11</v>
      </c>
      <c r="B2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Black Tape 2Inch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2" s="53" t="inlineStr"/>
      <c r="D22" s="53" t="n"/>
      <c r="E22" s="55" t="inlineStr">
        <is>
          <t>Ex stock, subject to prior sales.</t>
        </is>
      </c>
      <c r="F22" s="56" t="n">
        <v>60</v>
      </c>
      <c r="G22" s="57" t="inlineStr">
        <is>
          <t>Each</t>
        </is>
      </c>
      <c r="H22" s="56" t="n">
        <v>0</v>
      </c>
      <c r="I22" s="56">
        <f>F22*H22</f>
        <v/>
      </c>
      <c r="J22" s="53" t="n"/>
      <c r="K22" s="56" t="n">
        <v>0</v>
      </c>
      <c r="L22" s="58" t="n">
        <v>0</v>
      </c>
      <c r="M22" s="59">
        <f>(N22-K22)*F22</f>
        <v/>
      </c>
      <c r="N22" s="56">
        <f>K22*(1+L22)</f>
        <v/>
      </c>
    </row>
    <row r="23" ht="140" customHeight="1">
      <c r="A23" s="53" t="n">
        <v>12</v>
      </c>
      <c r="B2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Gas R410A (Honeywell)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3" s="53" t="inlineStr"/>
      <c r="D23" s="53" t="n"/>
      <c r="E23" s="55" t="inlineStr">
        <is>
          <t>Ex stock, subject to prior sales.</t>
        </is>
      </c>
      <c r="F23" s="56" t="n">
        <v>5</v>
      </c>
      <c r="G23" s="57" t="inlineStr">
        <is>
          <t>Each</t>
        </is>
      </c>
      <c r="H23" s="56" t="n">
        <v>0</v>
      </c>
      <c r="I23" s="56">
        <f>F23*H23</f>
        <v/>
      </c>
      <c r="J23" s="53" t="n"/>
      <c r="K23" s="56" t="n">
        <v>0</v>
      </c>
      <c r="L23" s="58" t="n">
        <v>0</v>
      </c>
      <c r="M23" s="59">
        <f>(N23-K23)*F23</f>
        <v/>
      </c>
      <c r="N23" s="56">
        <f>K23*(1+L23)</f>
        <v/>
      </c>
    </row>
    <row r="24" ht="140" customHeight="1">
      <c r="A24" s="53" t="n">
        <v>13</v>
      </c>
      <c r="B2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R-407 C Gas Cylinder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4" s="53" t="inlineStr"/>
      <c r="D24" s="53" t="n"/>
      <c r="E24" s="55" t="inlineStr">
        <is>
          <t>Ex stock, subject to prior sales.</t>
        </is>
      </c>
      <c r="F24" s="56" t="n">
        <v>3</v>
      </c>
      <c r="G24" s="57" t="inlineStr">
        <is>
          <t>Each</t>
        </is>
      </c>
      <c r="H24" s="56" t="n">
        <v>0</v>
      </c>
      <c r="I24" s="56">
        <f>F24*H24</f>
        <v/>
      </c>
      <c r="J24" s="53" t="n"/>
      <c r="K24" s="56" t="n">
        <v>0</v>
      </c>
      <c r="L24" s="58" t="n">
        <v>0</v>
      </c>
      <c r="M24" s="59">
        <f>(N24-K24)*F24</f>
        <v/>
      </c>
      <c r="N24" s="56">
        <f>K24*(1+L24)</f>
        <v/>
      </c>
    </row>
    <row r="25" ht="140" customHeight="1">
      <c r="A25" s="53" t="n">
        <v>14</v>
      </c>
      <c r="B2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Paint Spray Black Can (ABRO)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5" s="53" t="inlineStr"/>
      <c r="D25" s="53" t="n"/>
      <c r="E25" s="55" t="inlineStr">
        <is>
          <t>Ex stock, subject to prior sales.</t>
        </is>
      </c>
      <c r="F25" s="56" t="n">
        <v>72</v>
      </c>
      <c r="G25" s="57" t="inlineStr">
        <is>
          <t>Each</t>
        </is>
      </c>
      <c r="H25" s="56" t="n">
        <v>0</v>
      </c>
      <c r="I25" s="56">
        <f>F25*H25</f>
        <v/>
      </c>
      <c r="J25" s="53" t="n"/>
      <c r="K25" s="56" t="n">
        <v>0</v>
      </c>
      <c r="L25" s="58" t="n">
        <v>0</v>
      </c>
      <c r="M25" s="59">
        <f>(N25-K25)*F25</f>
        <v/>
      </c>
      <c r="N25" s="56">
        <f>K25*(1+L25)</f>
        <v/>
      </c>
    </row>
    <row r="26" ht="140" customHeight="1">
      <c r="A26" s="53" t="n">
        <v>15</v>
      </c>
      <c r="B2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Sand Paper -Size P - 1000 - (Galaxy)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6" s="53" t="inlineStr"/>
      <c r="D26" s="53" t="n"/>
      <c r="E26" s="55" t="inlineStr">
        <is>
          <t>Ex stock, subject to prior sales.</t>
        </is>
      </c>
      <c r="F26" s="56" t="n">
        <v>50</v>
      </c>
      <c r="G26" s="57" t="inlineStr">
        <is>
          <t>Each</t>
        </is>
      </c>
      <c r="H26" s="56" t="n">
        <v>0</v>
      </c>
      <c r="I26" s="56">
        <f>F26*H26</f>
        <v/>
      </c>
      <c r="J26" s="53" t="n"/>
      <c r="K26" s="56" t="n">
        <v>0</v>
      </c>
      <c r="L26" s="58" t="n">
        <v>0</v>
      </c>
      <c r="M26" s="59">
        <f>(N26-K26)*F26</f>
        <v/>
      </c>
      <c r="N26" s="56">
        <f>K26*(1+L26)</f>
        <v/>
      </c>
    </row>
    <row r="27" ht="140" customHeight="1">
      <c r="A27" s="53" t="n">
        <v>16</v>
      </c>
      <c r="B27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Sand paper -Size P - 600 - (Galaxy)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7" s="53" t="inlineStr"/>
      <c r="D27" s="53" t="n"/>
      <c r="E27" s="55" t="inlineStr">
        <is>
          <t>Ex stock, subject to prior sales.</t>
        </is>
      </c>
      <c r="F27" s="56" t="n">
        <v>50</v>
      </c>
      <c r="G27" s="57" t="inlineStr">
        <is>
          <t>Each</t>
        </is>
      </c>
      <c r="H27" s="56" t="n">
        <v>0</v>
      </c>
      <c r="I27" s="56">
        <f>F27*H27</f>
        <v/>
      </c>
      <c r="J27" s="53" t="n"/>
      <c r="K27" s="56" t="n">
        <v>0</v>
      </c>
      <c r="L27" s="58" t="n">
        <v>0</v>
      </c>
      <c r="M27" s="59">
        <f>(N27-K27)*F27</f>
        <v/>
      </c>
      <c r="N27" s="56">
        <f>K27*(1+L27)</f>
        <v/>
      </c>
    </row>
    <row r="28" ht="140" customHeight="1">
      <c r="A28" s="53" t="n">
        <v>17</v>
      </c>
      <c r="B28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Combination Plier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8" s="53" t="inlineStr"/>
      <c r="D28" s="53" t="n"/>
      <c r="E28" s="55" t="inlineStr">
        <is>
          <t>Ex stock, subject to prior sales.</t>
        </is>
      </c>
      <c r="F28" s="56" t="n">
        <v>12</v>
      </c>
      <c r="G28" s="57" t="inlineStr">
        <is>
          <t>Each</t>
        </is>
      </c>
      <c r="H28" s="56" t="n">
        <v>0</v>
      </c>
      <c r="I28" s="56">
        <f>F28*H28</f>
        <v/>
      </c>
      <c r="J28" s="53" t="n"/>
      <c r="K28" s="56" t="n">
        <v>0</v>
      </c>
      <c r="L28" s="58" t="n">
        <v>0</v>
      </c>
      <c r="M28" s="59">
        <f>(N28-K28)*F28</f>
        <v/>
      </c>
      <c r="N28" s="56">
        <f>K28*(1+L28)</f>
        <v/>
      </c>
    </row>
    <row r="29" ht="140" customHeight="1">
      <c r="A29" s="53" t="n">
        <v>18</v>
      </c>
      <c r="B29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Electrical Tester (Taparia 813 Yellow)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9" s="53" t="inlineStr"/>
      <c r="D29" s="53" t="n"/>
      <c r="E29" s="55" t="inlineStr">
        <is>
          <t>Ex stock, subject to prior sales.</t>
        </is>
      </c>
      <c r="F29" s="56" t="n">
        <v>24</v>
      </c>
      <c r="G29" s="57" t="inlineStr">
        <is>
          <t>Each</t>
        </is>
      </c>
      <c r="H29" s="56" t="n">
        <v>0</v>
      </c>
      <c r="I29" s="56">
        <f>F29*H29</f>
        <v/>
      </c>
      <c r="J29" s="53" t="n"/>
      <c r="K29" s="56" t="n">
        <v>0</v>
      </c>
      <c r="L29" s="58" t="n">
        <v>0</v>
      </c>
      <c r="M29" s="59">
        <f>(N29-K29)*F29</f>
        <v/>
      </c>
      <c r="N29" s="56">
        <f>K29*(1+L29)</f>
        <v/>
      </c>
    </row>
    <row r="30" ht="140" customHeight="1">
      <c r="A30" s="53" t="n">
        <v>19</v>
      </c>
      <c r="B30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Safety Goggles White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0" s="53" t="inlineStr"/>
      <c r="D30" s="53" t="n"/>
      <c r="E30" s="55" t="inlineStr">
        <is>
          <t>Ex stock, subject to prior sales.</t>
        </is>
      </c>
      <c r="F30" s="56" t="n">
        <v>50</v>
      </c>
      <c r="G30" s="57" t="inlineStr">
        <is>
          <t>Each</t>
        </is>
      </c>
      <c r="H30" s="56" t="n">
        <v>0</v>
      </c>
      <c r="I30" s="56">
        <f>F30*H30</f>
        <v/>
      </c>
      <c r="J30" s="53" t="n"/>
      <c r="K30" s="56" t="n">
        <v>0</v>
      </c>
      <c r="L30" s="58" t="n">
        <v>0</v>
      </c>
      <c r="M30" s="59">
        <f>(N30-K30)*F30</f>
        <v/>
      </c>
      <c r="N30" s="56">
        <f>K30*(1+L30)</f>
        <v/>
      </c>
    </row>
    <row r="31" ht="140" customHeight="1">
      <c r="A31" s="53" t="n">
        <v>20</v>
      </c>
      <c r="B31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Tape Measuring (Stanley) 5Mtr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1" s="53" t="inlineStr"/>
      <c r="D31" s="53" t="n"/>
      <c r="E31" s="55" t="inlineStr">
        <is>
          <t>Ex stock, subject to prior sales.</t>
        </is>
      </c>
      <c r="F31" s="56" t="n">
        <v>10</v>
      </c>
      <c r="G31" s="57" t="inlineStr">
        <is>
          <t>Each</t>
        </is>
      </c>
      <c r="H31" s="56" t="n">
        <v>0</v>
      </c>
      <c r="I31" s="56">
        <f>F31*H31</f>
        <v/>
      </c>
      <c r="J31" s="53" t="n"/>
      <c r="K31" s="56" t="n">
        <v>0</v>
      </c>
      <c r="L31" s="58" t="n">
        <v>0</v>
      </c>
      <c r="M31" s="59">
        <f>(N31-K31)*F31</f>
        <v/>
      </c>
      <c r="N31" s="56">
        <f>K31*(1+L31)</f>
        <v/>
      </c>
    </row>
    <row r="32" ht="140" customHeight="1">
      <c r="A32" s="53" t="n">
        <v>21</v>
      </c>
      <c r="B3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Brass Float Ball Valve 1inch 855(Peglar)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2" s="53" t="inlineStr"/>
      <c r="D32" s="53" t="n"/>
      <c r="E32" s="55" t="inlineStr">
        <is>
          <t>Ex stock, subject to prior sales.</t>
        </is>
      </c>
      <c r="F32" s="56" t="n">
        <v>10</v>
      </c>
      <c r="G32" s="57" t="inlineStr">
        <is>
          <t>Each</t>
        </is>
      </c>
      <c r="H32" s="56" t="n">
        <v>0</v>
      </c>
      <c r="I32" s="56">
        <f>F32*H32</f>
        <v/>
      </c>
      <c r="J32" s="53" t="n"/>
      <c r="K32" s="56" t="n">
        <v>0</v>
      </c>
      <c r="L32" s="58" t="n">
        <v>0</v>
      </c>
      <c r="M32" s="59">
        <f>(N32-K32)*F32</f>
        <v/>
      </c>
      <c r="N32" s="56">
        <f>K32*(1+L32)</f>
        <v/>
      </c>
    </row>
    <row r="33" ht="140" customHeight="1">
      <c r="A33" s="53" t="n">
        <v>22</v>
      </c>
      <c r="B3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Pool Vaccum Head M.No HD 70 Certikin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3" s="53" t="inlineStr"/>
      <c r="D33" s="53" t="n"/>
      <c r="E33" s="55" t="inlineStr">
        <is>
          <t>Ex stock, subject to prior sales.</t>
        </is>
      </c>
      <c r="F33" s="56" t="n">
        <v>10</v>
      </c>
      <c r="G33" s="57" t="inlineStr">
        <is>
          <t>Each</t>
        </is>
      </c>
      <c r="H33" s="56" t="n">
        <v>0</v>
      </c>
      <c r="I33" s="56">
        <f>F33*H33</f>
        <v/>
      </c>
      <c r="J33" s="53" t="n"/>
      <c r="K33" s="56" t="n">
        <v>0</v>
      </c>
      <c r="L33" s="58" t="n">
        <v>0</v>
      </c>
      <c r="M33" s="59">
        <f>(N33-K33)*F33</f>
        <v/>
      </c>
      <c r="N33" s="56">
        <f>K33*(1+L33)</f>
        <v/>
      </c>
    </row>
    <row r="34" ht="140" customHeight="1">
      <c r="A34" s="53" t="n">
        <v>23</v>
      </c>
      <c r="B3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S/Pool Stick length: 3Mtrs (Aluminium Telescopic Pole)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4" s="53" t="inlineStr"/>
      <c r="D34" s="53" t="n"/>
      <c r="E34" s="55" t="inlineStr">
        <is>
          <t>Ex stock, subject to prior sales.</t>
        </is>
      </c>
      <c r="F34" s="56" t="n">
        <v>5</v>
      </c>
      <c r="G34" s="57" t="inlineStr">
        <is>
          <t>Each</t>
        </is>
      </c>
      <c r="H34" s="56" t="n">
        <v>0</v>
      </c>
      <c r="I34" s="56">
        <f>F34*H34</f>
        <v/>
      </c>
      <c r="J34" s="53" t="n"/>
      <c r="K34" s="56" t="n">
        <v>0</v>
      </c>
      <c r="L34" s="58" t="n">
        <v>0</v>
      </c>
      <c r="M34" s="59">
        <f>(N34-K34)*F34</f>
        <v/>
      </c>
      <c r="N34" s="56">
        <f>K34*(1+L34)</f>
        <v/>
      </c>
    </row>
    <row r="35" ht="140" customHeight="1">
      <c r="A35" s="53" t="n">
        <v>24</v>
      </c>
      <c r="B3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Sand Filter Astral Pools (big) Code 15784-0100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5" s="53" t="inlineStr"/>
      <c r="D35" s="53" t="n"/>
      <c r="E35" s="55" t="inlineStr">
        <is>
          <t>Ex stock, subject to prior sales.</t>
        </is>
      </c>
      <c r="F35" s="56" t="n">
        <v>1</v>
      </c>
      <c r="G35" s="57" t="inlineStr">
        <is>
          <t>Each</t>
        </is>
      </c>
      <c r="H35" s="56" t="n">
        <v>0</v>
      </c>
      <c r="I35" s="56">
        <f>F35*H35</f>
        <v/>
      </c>
      <c r="J35" s="53" t="n"/>
      <c r="K35" s="56" t="n">
        <v>0</v>
      </c>
      <c r="L35" s="58" t="n">
        <v>0</v>
      </c>
      <c r="M35" s="59">
        <f>(N35-K35)*F35</f>
        <v/>
      </c>
      <c r="N35" s="56">
        <f>K35*(1+L35)</f>
        <v/>
      </c>
    </row>
    <row r="36" ht="140" customHeight="1">
      <c r="A36" s="53" t="n">
        <v>25</v>
      </c>
      <c r="B3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STP Hydrated Lime 25 Kg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6" s="53" t="inlineStr"/>
      <c r="D36" s="53" t="n"/>
      <c r="E36" s="55" t="inlineStr">
        <is>
          <t>Ex stock, subject to prior sales.</t>
        </is>
      </c>
      <c r="F36" s="56" t="n">
        <v>10</v>
      </c>
      <c r="G36" s="57" t="inlineStr">
        <is>
          <t>Each</t>
        </is>
      </c>
      <c r="H36" s="56" t="n">
        <v>0</v>
      </c>
      <c r="I36" s="56">
        <f>F36*H36</f>
        <v/>
      </c>
      <c r="J36" s="53" t="n"/>
      <c r="K36" s="56" t="n">
        <v>0</v>
      </c>
      <c r="L36" s="58" t="n">
        <v>0</v>
      </c>
      <c r="M36" s="59">
        <f>(N36-K36)*F36</f>
        <v/>
      </c>
      <c r="N36" s="56">
        <f>K36*(1+L36)</f>
        <v/>
      </c>
    </row>
    <row r="37" ht="140" customHeight="1">
      <c r="A37" s="53" t="n">
        <v>26</v>
      </c>
      <c r="B37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Submersible Pump (Brand :Pedrollo Top Multi 2) 0.75HP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7" s="53" t="inlineStr"/>
      <c r="D37" s="53" t="n"/>
      <c r="E37" s="55" t="inlineStr">
        <is>
          <t>Ex stock, subject to prior sales.</t>
        </is>
      </c>
      <c r="F37" s="56" t="n">
        <v>3</v>
      </c>
      <c r="G37" s="57" t="inlineStr">
        <is>
          <t>Each</t>
        </is>
      </c>
      <c r="H37" s="56" t="n">
        <v>0</v>
      </c>
      <c r="I37" s="56">
        <f>F37*H37</f>
        <v/>
      </c>
      <c r="J37" s="53" t="n"/>
      <c r="K37" s="56" t="n">
        <v>0</v>
      </c>
      <c r="L37" s="58" t="n">
        <v>0</v>
      </c>
      <c r="M37" s="59">
        <f>(N37-K37)*F37</f>
        <v/>
      </c>
      <c r="N37" s="56">
        <f>K37*(1+L37)</f>
        <v/>
      </c>
    </row>
    <row r="38" ht="140" customHeight="1">
      <c r="A38" s="53" t="n">
        <v>27</v>
      </c>
      <c r="B38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Concrete Nail 1" Black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8" s="53" t="inlineStr"/>
      <c r="D38" s="53" t="n"/>
      <c r="E38" s="55" t="inlineStr">
        <is>
          <t>Ex stock, subject to prior sales.</t>
        </is>
      </c>
      <c r="F38" s="56" t="n">
        <v>10</v>
      </c>
      <c r="G38" s="57" t="inlineStr">
        <is>
          <t>Each</t>
        </is>
      </c>
      <c r="H38" s="56" t="n">
        <v>0</v>
      </c>
      <c r="I38" s="56">
        <f>F38*H38</f>
        <v/>
      </c>
      <c r="J38" s="53" t="n"/>
      <c r="K38" s="56" t="n">
        <v>0</v>
      </c>
      <c r="L38" s="58" t="n">
        <v>0</v>
      </c>
      <c r="M38" s="59">
        <f>(N38-K38)*F38</f>
        <v/>
      </c>
      <c r="N38" s="56">
        <f>K38*(1+L38)</f>
        <v/>
      </c>
    </row>
    <row r="39" ht="140" customHeight="1">
      <c r="A39" s="53" t="n">
        <v>28</v>
      </c>
      <c r="B39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Door Closer YALE - DCR-1824FR(2122) Silver Colour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9" s="53" t="inlineStr"/>
      <c r="D39" s="53" t="n"/>
      <c r="E39" s="55" t="inlineStr">
        <is>
          <t>Ex stock, subject to prior sales.</t>
        </is>
      </c>
      <c r="F39" s="56" t="n">
        <v>6</v>
      </c>
      <c r="G39" s="57" t="inlineStr">
        <is>
          <t>Each</t>
        </is>
      </c>
      <c r="H39" s="56" t="n">
        <v>0</v>
      </c>
      <c r="I39" s="56">
        <f>F39*H39</f>
        <v/>
      </c>
      <c r="J39" s="53" t="n"/>
      <c r="K39" s="56" t="n">
        <v>0</v>
      </c>
      <c r="L39" s="58" t="n">
        <v>0</v>
      </c>
      <c r="M39" s="59">
        <f>(N39-K39)*F39</f>
        <v/>
      </c>
      <c r="N39" s="56">
        <f>K39*(1+L39)</f>
        <v/>
      </c>
    </row>
    <row r="40" ht="140" customHeight="1">
      <c r="A40" s="53" t="n">
        <v>29</v>
      </c>
      <c r="B40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Panel Pins 3/4 inch x 17 (Pkt)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0" s="53" t="inlineStr"/>
      <c r="D40" s="53" t="n"/>
      <c r="E40" s="55" t="inlineStr">
        <is>
          <t>Ex stock, subject to prior sales.</t>
        </is>
      </c>
      <c r="F40" s="56" t="n">
        <v>10</v>
      </c>
      <c r="G40" s="57" t="inlineStr">
        <is>
          <t>Each</t>
        </is>
      </c>
      <c r="H40" s="56" t="n">
        <v>0</v>
      </c>
      <c r="I40" s="56">
        <f>F40*H40</f>
        <v/>
      </c>
      <c r="J40" s="53" t="n"/>
      <c r="K40" s="56" t="n">
        <v>0</v>
      </c>
      <c r="L40" s="58" t="n">
        <v>0</v>
      </c>
      <c r="M40" s="59">
        <f>(N40-K40)*F40</f>
        <v/>
      </c>
      <c r="N40" s="56">
        <f>K40*(1+L40)</f>
        <v/>
      </c>
    </row>
    <row r="41" ht="140" customHeight="1">
      <c r="A41" s="53" t="n">
        <v>30</v>
      </c>
      <c r="B41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Privacy Screen Roll - Grenn Color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1" s="53" t="inlineStr"/>
      <c r="D41" s="53" t="n"/>
      <c r="E41" s="55" t="inlineStr">
        <is>
          <t>Ex stock, subject to prior sales.</t>
        </is>
      </c>
      <c r="F41" s="56" t="n">
        <v>3</v>
      </c>
      <c r="G41" s="57" t="inlineStr">
        <is>
          <t>Each</t>
        </is>
      </c>
      <c r="H41" s="56" t="n">
        <v>0</v>
      </c>
      <c r="I41" s="56">
        <f>F41*H41</f>
        <v/>
      </c>
      <c r="J41" s="53" t="n"/>
      <c r="K41" s="56" t="n">
        <v>0</v>
      </c>
      <c r="L41" s="58" t="n">
        <v>0</v>
      </c>
      <c r="M41" s="59">
        <f>(N41-K41)*F41</f>
        <v/>
      </c>
      <c r="N41" s="56">
        <f>K41*(1+L41)</f>
        <v/>
      </c>
    </row>
    <row r="42" ht="140" customHeight="1">
      <c r="A42" s="53" t="n">
        <v>31</v>
      </c>
      <c r="B4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Screw 1 inch x No.8 (Box) Tuf Fix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2" s="53" t="inlineStr"/>
      <c r="D42" s="53" t="n"/>
      <c r="E42" s="55" t="inlineStr">
        <is>
          <t>Ex stock, subject to prior sales.</t>
        </is>
      </c>
      <c r="F42" s="56" t="n">
        <v>10</v>
      </c>
      <c r="G42" s="57" t="inlineStr">
        <is>
          <t>Each</t>
        </is>
      </c>
      <c r="H42" s="56" t="n">
        <v>0</v>
      </c>
      <c r="I42" s="56">
        <f>F42*H42</f>
        <v/>
      </c>
      <c r="J42" s="53" t="n"/>
      <c r="K42" s="56" t="n">
        <v>0</v>
      </c>
      <c r="L42" s="58" t="n">
        <v>0</v>
      </c>
      <c r="M42" s="59">
        <f>(N42-K42)*F42</f>
        <v/>
      </c>
      <c r="N42" s="56">
        <f>K42*(1+L42)</f>
        <v/>
      </c>
    </row>
    <row r="43" ht="140" customHeight="1">
      <c r="A43" s="53" t="n">
        <v>32</v>
      </c>
      <c r="B4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Screws 1 1/2" X No. 8 (Box) Tuf Fix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3" s="53" t="inlineStr"/>
      <c r="D43" s="53" t="n"/>
      <c r="E43" s="55" t="inlineStr">
        <is>
          <t>Ex stock, subject to prior sales.</t>
        </is>
      </c>
      <c r="F43" s="56" t="n">
        <v>15</v>
      </c>
      <c r="G43" s="57" t="inlineStr">
        <is>
          <t>Each</t>
        </is>
      </c>
      <c r="H43" s="56" t="n">
        <v>0</v>
      </c>
      <c r="I43" s="56">
        <f>F43*H43</f>
        <v/>
      </c>
      <c r="J43" s="53" t="n"/>
      <c r="K43" s="56" t="n">
        <v>0</v>
      </c>
      <c r="L43" s="58" t="n">
        <v>0</v>
      </c>
      <c r="M43" s="59">
        <f>(N43-K43)*F43</f>
        <v/>
      </c>
      <c r="N43" s="56">
        <f>K43*(1+L43)</f>
        <v/>
      </c>
    </row>
    <row r="44" ht="140" customHeight="1">
      <c r="A44" s="53" t="n">
        <v>33</v>
      </c>
      <c r="B4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4 Feet LED Tube Light 10w Daylight 240v 50/60Hz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4" s="53" t="inlineStr"/>
      <c r="D44" s="53" t="n"/>
      <c r="E44" s="55" t="inlineStr">
        <is>
          <t>Ex stock, subject to prior sales.</t>
        </is>
      </c>
      <c r="F44" s="56" t="n">
        <v>25</v>
      </c>
      <c r="G44" s="57" t="inlineStr">
        <is>
          <t>Each</t>
        </is>
      </c>
      <c r="H44" s="56" t="n">
        <v>0</v>
      </c>
      <c r="I44" s="56">
        <f>F44*H44</f>
        <v/>
      </c>
      <c r="J44" s="53" t="n"/>
      <c r="K44" s="56" t="n">
        <v>0</v>
      </c>
      <c r="L44" s="58" t="n">
        <v>0</v>
      </c>
      <c r="M44" s="59">
        <f>(N44-K44)*F44</f>
        <v/>
      </c>
      <c r="N44" s="56">
        <f>K44*(1+L44)</f>
        <v/>
      </c>
    </row>
    <row r="45" ht="140" customHeight="1">
      <c r="A45" s="53" t="n">
        <v>34</v>
      </c>
      <c r="B4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Double Tube Light Fitting With Cover 4"(Selex)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5" s="53" t="inlineStr"/>
      <c r="D45" s="53" t="n"/>
      <c r="E45" s="55" t="inlineStr">
        <is>
          <t>Ex stock, subject to prior sales.</t>
        </is>
      </c>
      <c r="F45" s="56" t="n">
        <v>6</v>
      </c>
      <c r="G45" s="57" t="inlineStr">
        <is>
          <t>Each</t>
        </is>
      </c>
      <c r="H45" s="56" t="n">
        <v>0</v>
      </c>
      <c r="I45" s="56">
        <f>F45*H45</f>
        <v/>
      </c>
      <c r="J45" s="53" t="n"/>
      <c r="K45" s="56" t="n">
        <v>0</v>
      </c>
      <c r="L45" s="58" t="n">
        <v>0</v>
      </c>
      <c r="M45" s="59">
        <f>(N45-K45)*F45</f>
        <v/>
      </c>
      <c r="N45" s="56">
        <f>K45*(1+L45)</f>
        <v/>
      </c>
    </row>
    <row r="46" ht="140" customHeight="1">
      <c r="A46" s="53" t="n">
        <v>35</v>
      </c>
      <c r="B4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Flourescent Day Light Tube 4ft(Philips) TL-D 36W54-765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6" s="53" t="inlineStr"/>
      <c r="D46" s="53" t="n"/>
      <c r="E46" s="55" t="inlineStr">
        <is>
          <t>Ex stock, subject to prior sales.</t>
        </is>
      </c>
      <c r="F46" s="56" t="n">
        <v>25</v>
      </c>
      <c r="G46" s="57" t="inlineStr">
        <is>
          <t>Each</t>
        </is>
      </c>
      <c r="H46" s="56" t="n">
        <v>0</v>
      </c>
      <c r="I46" s="56">
        <f>F46*H46</f>
        <v/>
      </c>
      <c r="J46" s="53" t="n"/>
      <c r="K46" s="56" t="n">
        <v>0</v>
      </c>
      <c r="L46" s="58" t="n">
        <v>0</v>
      </c>
      <c r="M46" s="59">
        <f>(N46-K46)*F46</f>
        <v/>
      </c>
      <c r="N46" s="56">
        <f>K46*(1+L46)</f>
        <v/>
      </c>
    </row>
    <row r="47" ht="140" customHeight="1">
      <c r="A47" s="53" t="n">
        <v>36</v>
      </c>
      <c r="B47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Starter S10P (Philips)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7" s="53" t="inlineStr"/>
      <c r="D47" s="53" t="n"/>
      <c r="E47" s="55" t="inlineStr">
        <is>
          <t>Ex stock, subject to prior sales.</t>
        </is>
      </c>
      <c r="F47" s="56" t="n">
        <v>25</v>
      </c>
      <c r="G47" s="57" t="inlineStr">
        <is>
          <t>Each</t>
        </is>
      </c>
      <c r="H47" s="56" t="n">
        <v>0</v>
      </c>
      <c r="I47" s="56">
        <f>F47*H47</f>
        <v/>
      </c>
      <c r="J47" s="53" t="n"/>
      <c r="K47" s="56" t="n">
        <v>0</v>
      </c>
      <c r="L47" s="58" t="n">
        <v>0</v>
      </c>
      <c r="M47" s="59">
        <f>(N47-K47)*F47</f>
        <v/>
      </c>
      <c r="N47" s="56">
        <f>K47*(1+L47)</f>
        <v/>
      </c>
    </row>
    <row r="48" ht="140" customHeight="1">
      <c r="A48" s="53" t="n">
        <v>37</v>
      </c>
      <c r="B48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Starter S2 (Philips)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8" s="53" t="inlineStr"/>
      <c r="D48" s="53" t="n"/>
      <c r="E48" s="55" t="inlineStr">
        <is>
          <t>Ex stock, subject to prior sales.</t>
        </is>
      </c>
      <c r="F48" s="56" t="n">
        <v>25</v>
      </c>
      <c r="G48" s="57" t="inlineStr">
        <is>
          <t>Each</t>
        </is>
      </c>
      <c r="H48" s="56" t="n">
        <v>0</v>
      </c>
      <c r="I48" s="56">
        <f>F48*H48</f>
        <v/>
      </c>
      <c r="J48" s="53" t="n"/>
      <c r="K48" s="56" t="n">
        <v>0</v>
      </c>
      <c r="L48" s="58" t="n">
        <v>0</v>
      </c>
      <c r="M48" s="59">
        <f>(N48-K48)*F48</f>
        <v/>
      </c>
      <c r="N48" s="56">
        <f>K48*(1+L48)</f>
        <v/>
      </c>
    </row>
    <row r="49" ht="140" customHeight="1">
      <c r="A49" s="53" t="n">
        <v>38</v>
      </c>
      <c r="B49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Battery Oprated Somke Detector Brand - Andeli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9" s="53" t="inlineStr"/>
      <c r="D49" s="53" t="n"/>
      <c r="E49" s="55" t="inlineStr">
        <is>
          <t>Ex stock, subject to prior sales.</t>
        </is>
      </c>
      <c r="F49" s="56" t="n">
        <v>30</v>
      </c>
      <c r="G49" s="57" t="inlineStr">
        <is>
          <t>Each</t>
        </is>
      </c>
      <c r="H49" s="56" t="n">
        <v>0</v>
      </c>
      <c r="I49" s="56">
        <f>F49*H49</f>
        <v/>
      </c>
      <c r="J49" s="53" t="n"/>
      <c r="K49" s="56" t="n">
        <v>0</v>
      </c>
      <c r="L49" s="58" t="n">
        <v>0</v>
      </c>
      <c r="M49" s="59">
        <f>(N49-K49)*F49</f>
        <v/>
      </c>
      <c r="N49" s="56">
        <f>K49*(1+L49)</f>
        <v/>
      </c>
    </row>
    <row r="50" ht="140" customHeight="1">
      <c r="A50" s="53" t="n">
        <v>39</v>
      </c>
      <c r="B50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Fire Hydrant Cap ( Bs Instantaneous Male Blank Cap 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0" s="53" t="inlineStr"/>
      <c r="D50" s="53" t="n"/>
      <c r="E50" s="55" t="inlineStr">
        <is>
          <t>Ex stock, subject to prior sales.</t>
        </is>
      </c>
      <c r="F50" s="56" t="n">
        <v>10</v>
      </c>
      <c r="G50" s="57" t="inlineStr">
        <is>
          <t>Each</t>
        </is>
      </c>
      <c r="H50" s="56" t="n">
        <v>0</v>
      </c>
      <c r="I50" s="56">
        <f>F50*H50</f>
        <v/>
      </c>
      <c r="J50" s="53" t="n"/>
      <c r="K50" s="56" t="n">
        <v>0</v>
      </c>
      <c r="L50" s="58" t="n">
        <v>0</v>
      </c>
      <c r="M50" s="59">
        <f>(N50-K50)*F50</f>
        <v/>
      </c>
      <c r="N50" s="56">
        <f>K50*(1+L50)</f>
        <v/>
      </c>
    </row>
    <row r="51" ht="140" customHeight="1">
      <c r="A51" s="53" t="n">
        <v>40</v>
      </c>
      <c r="B51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AA Ordinary Battery Energizer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1" s="53" t="inlineStr"/>
      <c r="D51" s="53" t="n"/>
      <c r="E51" s="55" t="inlineStr">
        <is>
          <t>Ex stock, subject to prior sales.</t>
        </is>
      </c>
      <c r="F51" s="56" t="n">
        <v>200</v>
      </c>
      <c r="G51" s="57" t="inlineStr">
        <is>
          <t>Each</t>
        </is>
      </c>
      <c r="H51" s="56" t="n">
        <v>0</v>
      </c>
      <c r="I51" s="56">
        <f>F51*H51</f>
        <v/>
      </c>
      <c r="J51" s="53" t="n"/>
      <c r="K51" s="56" t="n">
        <v>0</v>
      </c>
      <c r="L51" s="58" t="n">
        <v>0</v>
      </c>
      <c r="M51" s="59">
        <f>(N51-K51)*F51</f>
        <v/>
      </c>
      <c r="N51" s="56">
        <f>K51*(1+L51)</f>
        <v/>
      </c>
    </row>
    <row r="52" ht="140" customHeight="1">
      <c r="A52" s="53" t="n">
        <v>41</v>
      </c>
      <c r="B5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AAA Ordinary Battery Energizer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2" s="53" t="inlineStr"/>
      <c r="D52" s="53" t="n"/>
      <c r="E52" s="55" t="inlineStr">
        <is>
          <t>Ex stock, subject to prior sales.</t>
        </is>
      </c>
      <c r="F52" s="56" t="n">
        <v>400</v>
      </c>
      <c r="G52" s="57" t="inlineStr">
        <is>
          <t>Each</t>
        </is>
      </c>
      <c r="H52" s="56" t="n">
        <v>0</v>
      </c>
      <c r="I52" s="56">
        <f>F52*H52</f>
        <v/>
      </c>
      <c r="J52" s="53" t="n"/>
      <c r="K52" s="56" t="n">
        <v>0</v>
      </c>
      <c r="L52" s="58" t="n">
        <v>0</v>
      </c>
      <c r="M52" s="59">
        <f>(N52-K52)*F52</f>
        <v/>
      </c>
      <c r="N52" s="56">
        <f>K52*(1+L52)</f>
        <v/>
      </c>
    </row>
    <row r="53" ht="140" customHeight="1">
      <c r="A53" s="53" t="n">
        <v>42</v>
      </c>
      <c r="B5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Disposable Coveralls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3" s="53" t="inlineStr"/>
      <c r="D53" s="53" t="n"/>
      <c r="E53" s="55" t="inlineStr">
        <is>
          <t>Ex stock, subject to prior sales.</t>
        </is>
      </c>
      <c r="F53" s="56" t="n">
        <v>12</v>
      </c>
      <c r="G53" s="57" t="inlineStr">
        <is>
          <t>Each</t>
        </is>
      </c>
      <c r="H53" s="56" t="n">
        <v>0</v>
      </c>
      <c r="I53" s="56">
        <f>F53*H53</f>
        <v/>
      </c>
      <c r="J53" s="53" t="n"/>
      <c r="K53" s="56" t="n">
        <v>0</v>
      </c>
      <c r="L53" s="58" t="n">
        <v>0</v>
      </c>
      <c r="M53" s="59">
        <f>(N53-K53)*F53</f>
        <v/>
      </c>
      <c r="N53" s="56">
        <f>K53*(1+L53)</f>
        <v/>
      </c>
    </row>
    <row r="54" ht="140" customHeight="1">
      <c r="A54" s="53" t="n">
        <v>43</v>
      </c>
      <c r="B5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Dust Mask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4" s="53" t="inlineStr"/>
      <c r="D54" s="53" t="n"/>
      <c r="E54" s="55" t="inlineStr">
        <is>
          <t>Ex stock, subject to prior sales.</t>
        </is>
      </c>
      <c r="F54" s="56" t="n">
        <v>20</v>
      </c>
      <c r="G54" s="57" t="inlineStr">
        <is>
          <t>Each</t>
        </is>
      </c>
      <c r="H54" s="56" t="n">
        <v>0</v>
      </c>
      <c r="I54" s="56">
        <f>F54*H54</f>
        <v/>
      </c>
      <c r="J54" s="53" t="n"/>
      <c r="K54" s="56" t="n">
        <v>0</v>
      </c>
      <c r="L54" s="58" t="n">
        <v>0</v>
      </c>
      <c r="M54" s="59">
        <f>(N54-K54)*F54</f>
        <v/>
      </c>
      <c r="N54" s="56">
        <f>K54*(1+L54)</f>
        <v/>
      </c>
    </row>
    <row r="55" ht="140" customHeight="1">
      <c r="A55" s="53" t="n">
        <v>44</v>
      </c>
      <c r="B5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Hand Gloves Blue Cotton Medium Dotted Vaultex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5" s="53" t="inlineStr"/>
      <c r="D55" s="53" t="n"/>
      <c r="E55" s="55" t="inlineStr">
        <is>
          <t>Ex stock, subject to prior sales.</t>
        </is>
      </c>
      <c r="F55" s="56" t="n">
        <v>20</v>
      </c>
      <c r="G55" s="57" t="inlineStr">
        <is>
          <t>Each</t>
        </is>
      </c>
      <c r="H55" s="56" t="n">
        <v>0</v>
      </c>
      <c r="I55" s="56">
        <f>F55*H55</f>
        <v/>
      </c>
      <c r="J55" s="53" t="n"/>
      <c r="K55" s="56" t="n">
        <v>0</v>
      </c>
      <c r="L55" s="58" t="n">
        <v>0</v>
      </c>
      <c r="M55" s="59">
        <f>(N55-K55)*F55</f>
        <v/>
      </c>
      <c r="N55" s="56">
        <f>K55*(1+L55)</f>
        <v/>
      </c>
    </row>
    <row r="56" ht="140" customHeight="1">
      <c r="A56" s="53" t="n">
        <v>45</v>
      </c>
      <c r="B5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Rubber Bush (Bottle Trap) 2" x 1 1/2"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6" s="53" t="inlineStr"/>
      <c r="D56" s="53" t="n"/>
      <c r="E56" s="55" t="inlineStr">
        <is>
          <t>Ex stock, subject to prior sales.</t>
        </is>
      </c>
      <c r="F56" s="56" t="n">
        <v>10</v>
      </c>
      <c r="G56" s="57" t="inlineStr">
        <is>
          <t>Each</t>
        </is>
      </c>
      <c r="H56" s="56" t="n">
        <v>0</v>
      </c>
      <c r="I56" s="56">
        <f>F56*H56</f>
        <v/>
      </c>
      <c r="J56" s="53" t="n"/>
      <c r="K56" s="56" t="n">
        <v>0</v>
      </c>
      <c r="L56" s="58" t="n">
        <v>0</v>
      </c>
      <c r="M56" s="59">
        <f>(N56-K56)*F56</f>
        <v/>
      </c>
      <c r="N56" s="56">
        <f>K56*(1+L56)</f>
        <v/>
      </c>
    </row>
    <row r="57" ht="140" customHeight="1">
      <c r="A57" s="53" t="n">
        <v>46</v>
      </c>
      <c r="B57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Wall Scrapper 3Inch (Hyde)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7" s="53" t="inlineStr"/>
      <c r="D57" s="53" t="n"/>
      <c r="E57" s="55" t="inlineStr">
        <is>
          <t>Ex stock, subject to prior sales.</t>
        </is>
      </c>
      <c r="F57" s="56" t="n">
        <v>12</v>
      </c>
      <c r="G57" s="57" t="inlineStr">
        <is>
          <t>Each</t>
        </is>
      </c>
      <c r="H57" s="56" t="n">
        <v>0</v>
      </c>
      <c r="I57" s="56">
        <f>F57*H57</f>
        <v/>
      </c>
      <c r="J57" s="53" t="n"/>
      <c r="K57" s="56" t="n">
        <v>0</v>
      </c>
      <c r="L57" s="58" t="n">
        <v>0</v>
      </c>
      <c r="M57" s="59">
        <f>(N57-K57)*F57</f>
        <v/>
      </c>
      <c r="N57" s="56">
        <f>K57*(1+L57)</f>
        <v/>
      </c>
    </row>
    <row r="58" ht="140" customHeight="1">
      <c r="A58" s="53" t="n">
        <v>47</v>
      </c>
      <c r="B58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WD-40 (400 ml)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8" s="53" t="inlineStr"/>
      <c r="D58" s="53" t="n"/>
      <c r="E58" s="55" t="inlineStr">
        <is>
          <t>Ex stock, subject to prior sales.</t>
        </is>
      </c>
      <c r="F58" s="56" t="n">
        <v>24</v>
      </c>
      <c r="G58" s="57" t="inlineStr">
        <is>
          <t>Each</t>
        </is>
      </c>
      <c r="H58" s="56" t="n">
        <v>0</v>
      </c>
      <c r="I58" s="56">
        <f>F58*H58</f>
        <v/>
      </c>
      <c r="J58" s="53" t="n"/>
      <c r="K58" s="56" t="n">
        <v>0</v>
      </c>
      <c r="L58" s="58" t="n">
        <v>0</v>
      </c>
      <c r="M58" s="59">
        <f>(N58-K58)*F58</f>
        <v/>
      </c>
      <c r="N58" s="56">
        <f>K58*(1+L58)</f>
        <v/>
      </c>
    </row>
    <row r="59" ht="140" customHeight="1">
      <c r="A59" s="53" t="n">
        <v>48</v>
      </c>
      <c r="B59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Wire Brush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9" s="53" t="inlineStr"/>
      <c r="D59" s="53" t="n"/>
      <c r="E59" s="55" t="inlineStr">
        <is>
          <t>Ex stock, subject to prior sales.</t>
        </is>
      </c>
      <c r="F59" s="56" t="n">
        <v>12</v>
      </c>
      <c r="G59" s="57" t="inlineStr">
        <is>
          <t>Each</t>
        </is>
      </c>
      <c r="H59" s="56" t="n">
        <v>0</v>
      </c>
      <c r="I59" s="56">
        <f>F59*H59</f>
        <v/>
      </c>
      <c r="J59" s="53" t="n"/>
      <c r="K59" s="56" t="n">
        <v>0</v>
      </c>
      <c r="L59" s="58" t="n">
        <v>0</v>
      </c>
      <c r="M59" s="59">
        <f>(N59-K59)*F59</f>
        <v/>
      </c>
      <c r="N59" s="56">
        <f>K59*(1+L59)</f>
        <v/>
      </c>
    </row>
    <row r="60" ht="140" customHeight="1">
      <c r="A60" s="53" t="n">
        <v>49</v>
      </c>
      <c r="B60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Wire Lug (Ring Type) 6Mm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0" s="53" t="inlineStr"/>
      <c r="D60" s="53" t="n"/>
      <c r="E60" s="55" t="inlineStr">
        <is>
          <t>Ex stock, subject to prior sales.</t>
        </is>
      </c>
      <c r="F60" s="56" t="n">
        <v>200</v>
      </c>
      <c r="G60" s="57" t="inlineStr">
        <is>
          <t>Each</t>
        </is>
      </c>
      <c r="H60" s="56" t="n">
        <v>0</v>
      </c>
      <c r="I60" s="56">
        <f>F60*H60</f>
        <v/>
      </c>
      <c r="J60" s="53" t="n"/>
      <c r="K60" s="56" t="n">
        <v>0</v>
      </c>
      <c r="L60" s="58" t="n">
        <v>0</v>
      </c>
      <c r="M60" s="59">
        <f>(N60-K60)*F60</f>
        <v/>
      </c>
      <c r="N60" s="56">
        <f>K60*(1+L60)</f>
        <v/>
      </c>
    </row>
    <row r="61" ht="140" customHeight="1">
      <c r="A61" s="53" t="n">
        <v>50</v>
      </c>
      <c r="B61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50L Water Heater Milano - Horizontal Made Italy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1" s="53" t="inlineStr"/>
      <c r="D61" s="53" t="n"/>
      <c r="E61" s="55" t="inlineStr">
        <is>
          <t>Ex stock, subject to prior sales.</t>
        </is>
      </c>
      <c r="F61" s="56" t="n">
        <v>10</v>
      </c>
      <c r="G61" s="57" t="inlineStr">
        <is>
          <t>Each</t>
        </is>
      </c>
      <c r="H61" s="56" t="n">
        <v>0</v>
      </c>
      <c r="I61" s="56">
        <f>F61*H61</f>
        <v/>
      </c>
      <c r="J61" s="53" t="n"/>
      <c r="K61" s="56" t="n">
        <v>0</v>
      </c>
      <c r="L61" s="58" t="n">
        <v>0</v>
      </c>
      <c r="M61" s="59">
        <f>(N61-K61)*F61</f>
        <v/>
      </c>
      <c r="N61" s="56">
        <f>K61*(1+L61)</f>
        <v/>
      </c>
    </row>
    <row r="62" ht="140" customHeight="1">
      <c r="A62" s="53" t="n">
        <v>51</v>
      </c>
      <c r="B6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Bath Shower Mixer F23000C (Tredex)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2" s="53" t="inlineStr"/>
      <c r="D62" s="53" t="n"/>
      <c r="E62" s="55" t="inlineStr">
        <is>
          <t>Ex stock, subject to prior sales.</t>
        </is>
      </c>
      <c r="F62" s="56" t="n">
        <v>3</v>
      </c>
      <c r="G62" s="57" t="inlineStr">
        <is>
          <t>Each</t>
        </is>
      </c>
      <c r="H62" s="56" t="n">
        <v>0</v>
      </c>
      <c r="I62" s="56">
        <f>F62*H62</f>
        <v/>
      </c>
      <c r="J62" s="53" t="n"/>
      <c r="K62" s="56" t="n">
        <v>0</v>
      </c>
      <c r="L62" s="58" t="n">
        <v>0</v>
      </c>
      <c r="M62" s="59">
        <f>(N62-K62)*F62</f>
        <v/>
      </c>
      <c r="N62" s="56">
        <f>K62*(1+L62)</f>
        <v/>
      </c>
    </row>
    <row r="63" ht="140" customHeight="1">
      <c r="A63" s="53" t="n">
        <v>52</v>
      </c>
      <c r="B6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Chrome Nipple 10mm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3" s="53" t="inlineStr"/>
      <c r="D63" s="53" t="n"/>
      <c r="E63" s="55" t="inlineStr">
        <is>
          <t>Ex stock, subject to prior sales.</t>
        </is>
      </c>
      <c r="F63" s="56" t="n">
        <v>20</v>
      </c>
      <c r="G63" s="57" t="inlineStr">
        <is>
          <t>Each</t>
        </is>
      </c>
      <c r="H63" s="56" t="n">
        <v>0</v>
      </c>
      <c r="I63" s="56">
        <f>F63*H63</f>
        <v/>
      </c>
      <c r="J63" s="53" t="n"/>
      <c r="K63" s="56" t="n">
        <v>0</v>
      </c>
      <c r="L63" s="58" t="n">
        <v>0</v>
      </c>
      <c r="M63" s="59">
        <f>(N63-K63)*F63</f>
        <v/>
      </c>
      <c r="N63" s="56">
        <f>K63*(1+L63)</f>
        <v/>
      </c>
    </row>
    <row r="64" ht="140" customHeight="1">
      <c r="A64" s="53" t="n">
        <v>53</v>
      </c>
      <c r="B6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Chrome Nipple 15Mm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4" s="53" t="inlineStr"/>
      <c r="D64" s="53" t="n"/>
      <c r="E64" s="55" t="inlineStr">
        <is>
          <t>Ex stock, subject to prior sales.</t>
        </is>
      </c>
      <c r="F64" s="56" t="n">
        <v>20</v>
      </c>
      <c r="G64" s="57" t="inlineStr">
        <is>
          <t>Each</t>
        </is>
      </c>
      <c r="H64" s="56" t="n">
        <v>0</v>
      </c>
      <c r="I64" s="56">
        <f>F64*H64</f>
        <v/>
      </c>
      <c r="J64" s="53" t="n"/>
      <c r="K64" s="56" t="n">
        <v>0</v>
      </c>
      <c r="L64" s="58" t="n">
        <v>0</v>
      </c>
      <c r="M64" s="59">
        <f>(N64-K64)*F64</f>
        <v/>
      </c>
      <c r="N64" s="56">
        <f>K64*(1+L64)</f>
        <v/>
      </c>
    </row>
    <row r="65" ht="140" customHeight="1">
      <c r="A65" s="53" t="n">
        <v>54</v>
      </c>
      <c r="B6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Chrome Nipple 20Mm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5" s="53" t="inlineStr"/>
      <c r="D65" s="53" t="n"/>
      <c r="E65" s="55" t="inlineStr">
        <is>
          <t>Ex stock, subject to prior sales.</t>
        </is>
      </c>
      <c r="F65" s="56" t="n">
        <v>20</v>
      </c>
      <c r="G65" s="57" t="inlineStr">
        <is>
          <t>Each</t>
        </is>
      </c>
      <c r="H65" s="56" t="n">
        <v>0</v>
      </c>
      <c r="I65" s="56">
        <f>F65*H65</f>
        <v/>
      </c>
      <c r="J65" s="53" t="n"/>
      <c r="K65" s="56" t="n">
        <v>0</v>
      </c>
      <c r="L65" s="58" t="n">
        <v>0</v>
      </c>
      <c r="M65" s="59">
        <f>(N65-K65)*F65</f>
        <v/>
      </c>
      <c r="N65" s="56">
        <f>K65*(1+L65)</f>
        <v/>
      </c>
    </row>
    <row r="66" ht="140" customHeight="1">
      <c r="A66" s="53" t="n">
        <v>55</v>
      </c>
      <c r="B6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Gasket Shellac 59ml (Btl)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6" s="53" t="inlineStr"/>
      <c r="D66" s="53" t="n"/>
      <c r="E66" s="55" t="inlineStr">
        <is>
          <t>Ex stock, subject to prior sales.</t>
        </is>
      </c>
      <c r="F66" s="56" t="n">
        <v>20</v>
      </c>
      <c r="G66" s="57" t="inlineStr">
        <is>
          <t>Each</t>
        </is>
      </c>
      <c r="H66" s="56" t="n">
        <v>0</v>
      </c>
      <c r="I66" s="56">
        <f>F66*H66</f>
        <v/>
      </c>
      <c r="J66" s="53" t="n"/>
      <c r="K66" s="56" t="n">
        <v>0</v>
      </c>
      <c r="L66" s="58" t="n">
        <v>0</v>
      </c>
      <c r="M66" s="59">
        <f>(N66-K66)*F66</f>
        <v/>
      </c>
      <c r="N66" s="56">
        <f>K66*(1+L66)</f>
        <v/>
      </c>
    </row>
    <row r="67" ht="140" customHeight="1">
      <c r="A67" s="53" t="n">
        <v>56</v>
      </c>
      <c r="B67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Hand Shower Head (for Host Aera)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7" s="53" t="inlineStr"/>
      <c r="D67" s="53" t="n"/>
      <c r="E67" s="55" t="inlineStr">
        <is>
          <t>Ex stock, subject to prior sales.</t>
        </is>
      </c>
      <c r="F67" s="56" t="n">
        <v>10</v>
      </c>
      <c r="G67" s="57" t="inlineStr">
        <is>
          <t>Each</t>
        </is>
      </c>
      <c r="H67" s="56" t="n">
        <v>0</v>
      </c>
      <c r="I67" s="56">
        <f>F67*H67</f>
        <v/>
      </c>
      <c r="J67" s="53" t="n"/>
      <c r="K67" s="56" t="n">
        <v>0</v>
      </c>
      <c r="L67" s="58" t="n">
        <v>0</v>
      </c>
      <c r="M67" s="59">
        <f>(N67-K67)*F67</f>
        <v/>
      </c>
      <c r="N67" s="56">
        <f>K67*(1+L67)</f>
        <v/>
      </c>
    </row>
    <row r="68" ht="140" customHeight="1">
      <c r="A68" s="53" t="n">
        <v>57</v>
      </c>
      <c r="B68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M Seal (Pidilite)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8" s="53" t="inlineStr"/>
      <c r="D68" s="53" t="n"/>
      <c r="E68" s="55" t="inlineStr">
        <is>
          <t>Ex stock, subject to prior sales.</t>
        </is>
      </c>
      <c r="F68" s="56" t="n">
        <v>36</v>
      </c>
      <c r="G68" s="57" t="inlineStr">
        <is>
          <t>Each</t>
        </is>
      </c>
      <c r="H68" s="56" t="n">
        <v>0</v>
      </c>
      <c r="I68" s="56">
        <f>F68*H68</f>
        <v/>
      </c>
      <c r="J68" s="53" t="n"/>
      <c r="K68" s="56" t="n">
        <v>0</v>
      </c>
      <c r="L68" s="58" t="n">
        <v>0</v>
      </c>
      <c r="M68" s="59">
        <f>(N68-K68)*F68</f>
        <v/>
      </c>
      <c r="N68" s="56">
        <f>K68*(1+L68)</f>
        <v/>
      </c>
    </row>
    <row r="69" ht="140" customHeight="1">
      <c r="A69" s="53" t="n">
        <v>58</v>
      </c>
      <c r="B69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Wash Basin Mixer Taps (Model:33265001) Grohe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9" s="53" t="inlineStr"/>
      <c r="D69" s="53" t="n"/>
      <c r="E69" s="55" t="inlineStr">
        <is>
          <t>Ex stock, subject to prior sales.</t>
        </is>
      </c>
      <c r="F69" s="56" t="n">
        <v>5</v>
      </c>
      <c r="G69" s="57" t="inlineStr">
        <is>
          <t>Each</t>
        </is>
      </c>
      <c r="H69" s="56" t="n">
        <v>0</v>
      </c>
      <c r="I69" s="56">
        <f>F69*H69</f>
        <v/>
      </c>
      <c r="J69" s="53" t="n"/>
      <c r="K69" s="56" t="n">
        <v>0</v>
      </c>
      <c r="L69" s="58" t="n">
        <v>0</v>
      </c>
      <c r="M69" s="59">
        <f>(N69-K69)*F69</f>
        <v/>
      </c>
      <c r="N69" s="56">
        <f>K69*(1+L69)</f>
        <v/>
      </c>
    </row>
    <row r="70" ht="140" customHeight="1">
      <c r="A70" s="53" t="n">
        <v>59</v>
      </c>
      <c r="B70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Wc Hand Shower Brand Daniel (Model:Dan 1000Zsr)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70" s="53" t="inlineStr"/>
      <c r="D70" s="53" t="n"/>
      <c r="E70" s="55" t="inlineStr">
        <is>
          <t>Ex stock, subject to prior sales.</t>
        </is>
      </c>
      <c r="F70" s="56" t="n">
        <v>15</v>
      </c>
      <c r="G70" s="57" t="inlineStr">
        <is>
          <t>Each</t>
        </is>
      </c>
      <c r="H70" s="56" t="n">
        <v>0</v>
      </c>
      <c r="I70" s="56">
        <f>F70*H70</f>
        <v/>
      </c>
      <c r="J70" s="53" t="n"/>
      <c r="K70" s="56" t="n">
        <v>0</v>
      </c>
      <c r="L70" s="58" t="n">
        <v>0</v>
      </c>
      <c r="M70" s="59">
        <f>(N70-K70)*F70</f>
        <v/>
      </c>
      <c r="N70" s="56">
        <f>K70*(1+L70)</f>
        <v/>
      </c>
    </row>
    <row r="71" ht="140" customHeight="1">
      <c r="A71" s="53" t="n">
        <v>60</v>
      </c>
      <c r="B71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Aluminium Rake Sticks Long 5 feet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71" s="53" t="inlineStr"/>
      <c r="D71" s="53" t="n"/>
      <c r="E71" s="55" t="inlineStr">
        <is>
          <t>Ex stock, subject to prior sales.</t>
        </is>
      </c>
      <c r="F71" s="56" t="n">
        <v>30</v>
      </c>
      <c r="G71" s="57" t="inlineStr">
        <is>
          <t>Each</t>
        </is>
      </c>
      <c r="H71" s="56" t="n">
        <v>0</v>
      </c>
      <c r="I71" s="56">
        <f>F71*H71</f>
        <v/>
      </c>
      <c r="J71" s="53" t="n"/>
      <c r="K71" s="56" t="n">
        <v>0</v>
      </c>
      <c r="L71" s="58" t="n">
        <v>0</v>
      </c>
      <c r="M71" s="59">
        <f>(N71-K71)*F71</f>
        <v/>
      </c>
      <c r="N71" s="56">
        <f>K71*(1+L71)</f>
        <v/>
      </c>
    </row>
    <row r="72" ht="140" customHeight="1">
      <c r="A72" s="53" t="n">
        <v>61</v>
      </c>
      <c r="B7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Coconut Fiber Block 30cm x 30cm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72" s="53" t="inlineStr"/>
      <c r="D72" s="53" t="n"/>
      <c r="E72" s="55" t="inlineStr">
        <is>
          <t>Ex stock, subject to prior sales.</t>
        </is>
      </c>
      <c r="F72" s="56" t="n">
        <v>20</v>
      </c>
      <c r="G72" s="57" t="inlineStr">
        <is>
          <t>Each</t>
        </is>
      </c>
      <c r="H72" s="56" t="n">
        <v>0</v>
      </c>
      <c r="I72" s="56">
        <f>F72*H72</f>
        <v/>
      </c>
      <c r="J72" s="53" t="n"/>
      <c r="K72" s="56" t="n">
        <v>0</v>
      </c>
      <c r="L72" s="58" t="n">
        <v>0</v>
      </c>
      <c r="M72" s="59">
        <f>(N72-K72)*F72</f>
        <v/>
      </c>
      <c r="N72" s="56">
        <f>K72*(1+L72)</f>
        <v/>
      </c>
    </row>
    <row r="73" ht="140" customHeight="1">
      <c r="A73" s="53" t="n">
        <v>62</v>
      </c>
      <c r="B7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Garden Saw (Samurai)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73" s="53" t="inlineStr"/>
      <c r="D73" s="53" t="n"/>
      <c r="E73" s="55" t="inlineStr">
        <is>
          <t>Ex stock, subject to prior sales.</t>
        </is>
      </c>
      <c r="F73" s="56" t="n">
        <v>20</v>
      </c>
      <c r="G73" s="57" t="inlineStr">
        <is>
          <t>Each</t>
        </is>
      </c>
      <c r="H73" s="56" t="n">
        <v>0</v>
      </c>
      <c r="I73" s="56">
        <f>F73*H73</f>
        <v/>
      </c>
      <c r="J73" s="53" t="n"/>
      <c r="K73" s="56" t="n">
        <v>0</v>
      </c>
      <c r="L73" s="58" t="n">
        <v>0</v>
      </c>
      <c r="M73" s="59">
        <f>(N73-K73)*F73</f>
        <v/>
      </c>
      <c r="N73" s="56">
        <f>K73*(1+L73)</f>
        <v/>
      </c>
    </row>
    <row r="74" ht="140" customHeight="1">
      <c r="A74" s="53" t="n">
        <v>63</v>
      </c>
      <c r="B7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Garden Shovel (Protech)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74" s="53" t="inlineStr"/>
      <c r="D74" s="53" t="n"/>
      <c r="E74" s="55" t="inlineStr">
        <is>
          <t>Ex stock, subject to prior sales.</t>
        </is>
      </c>
      <c r="F74" s="56" t="n">
        <v>3</v>
      </c>
      <c r="G74" s="57" t="inlineStr">
        <is>
          <t>Each</t>
        </is>
      </c>
      <c r="H74" s="56" t="n">
        <v>0</v>
      </c>
      <c r="I74" s="56">
        <f>F74*H74</f>
        <v/>
      </c>
      <c r="J74" s="53" t="n"/>
      <c r="K74" s="56" t="n">
        <v>0</v>
      </c>
      <c r="L74" s="58" t="n">
        <v>0</v>
      </c>
      <c r="M74" s="59">
        <f>(N74-K74)*F74</f>
        <v/>
      </c>
      <c r="N74" s="56">
        <f>K74*(1+L74)</f>
        <v/>
      </c>
    </row>
    <row r="75" ht="140" customHeight="1">
      <c r="A75" s="53" t="n">
        <v>64</v>
      </c>
      <c r="B7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Neem Guard (Shalimar Bio Tec)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75" s="53" t="inlineStr"/>
      <c r="D75" s="53" t="n"/>
      <c r="E75" s="55" t="inlineStr">
        <is>
          <t>Ex stock, subject to prior sales.</t>
        </is>
      </c>
      <c r="F75" s="56" t="n">
        <v>2</v>
      </c>
      <c r="G75" s="57" t="inlineStr">
        <is>
          <t>Each</t>
        </is>
      </c>
      <c r="H75" s="56" t="n">
        <v>0</v>
      </c>
      <c r="I75" s="56">
        <f>F75*H75</f>
        <v/>
      </c>
      <c r="J75" s="53" t="n"/>
      <c r="K75" s="56" t="n">
        <v>0</v>
      </c>
      <c r="L75" s="58" t="n">
        <v>0</v>
      </c>
      <c r="M75" s="59">
        <f>(N75-K75)*F75</f>
        <v/>
      </c>
      <c r="N75" s="56">
        <f>K75*(1+L75)</f>
        <v/>
      </c>
    </row>
    <row r="76" ht="140" customHeight="1">
      <c r="A76" s="53" t="n">
        <v>65</v>
      </c>
      <c r="B7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Peat Moss - 20 Kg Bag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76" s="53" t="inlineStr"/>
      <c r="D76" s="53" t="n"/>
      <c r="E76" s="55" t="inlineStr">
        <is>
          <t>Ex stock, subject to prior sales.</t>
        </is>
      </c>
      <c r="F76" s="56" t="n">
        <v>5</v>
      </c>
      <c r="G76" s="57" t="inlineStr">
        <is>
          <t>Each</t>
        </is>
      </c>
      <c r="H76" s="56" t="n">
        <v>0</v>
      </c>
      <c r="I76" s="56">
        <f>F76*H76</f>
        <v/>
      </c>
      <c r="J76" s="53" t="n"/>
      <c r="K76" s="56" t="n">
        <v>0</v>
      </c>
      <c r="L76" s="58" t="n">
        <v>0</v>
      </c>
      <c r="M76" s="59">
        <f>(N76-K76)*F76</f>
        <v/>
      </c>
      <c r="N76" s="56">
        <f>K76*(1+L76)</f>
        <v/>
      </c>
    </row>
    <row r="77" ht="140" customHeight="1">
      <c r="A77" s="53" t="n">
        <v>66</v>
      </c>
      <c r="B77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Plastic Rake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77" s="53" t="inlineStr"/>
      <c r="D77" s="53" t="n"/>
      <c r="E77" s="55" t="inlineStr">
        <is>
          <t>Ex stock, subject to prior sales.</t>
        </is>
      </c>
      <c r="F77" s="56" t="n">
        <v>30</v>
      </c>
      <c r="G77" s="57" t="inlineStr">
        <is>
          <t>Each</t>
        </is>
      </c>
      <c r="H77" s="56" t="n">
        <v>0</v>
      </c>
      <c r="I77" s="56">
        <f>F77*H77</f>
        <v/>
      </c>
      <c r="J77" s="53" t="n"/>
      <c r="K77" s="56" t="n">
        <v>0</v>
      </c>
      <c r="L77" s="58" t="n">
        <v>0</v>
      </c>
      <c r="M77" s="59">
        <f>(N77-K77)*F77</f>
        <v/>
      </c>
      <c r="N77" s="56">
        <f>K77*(1+L77)</f>
        <v/>
      </c>
    </row>
    <row r="78" ht="140" customHeight="1">
      <c r="A78" s="53" t="n">
        <v>67</v>
      </c>
      <c r="B78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Sickles (Round Type Garden Saw)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78" s="53" t="inlineStr"/>
      <c r="D78" s="53" t="n"/>
      <c r="E78" s="55" t="inlineStr">
        <is>
          <t>Ex stock, subject to prior sales.</t>
        </is>
      </c>
      <c r="F78" s="56" t="n">
        <v>24</v>
      </c>
      <c r="G78" s="57" t="inlineStr">
        <is>
          <t>Each</t>
        </is>
      </c>
      <c r="H78" s="56" t="n">
        <v>0</v>
      </c>
      <c r="I78" s="56">
        <f>F78*H78</f>
        <v/>
      </c>
      <c r="J78" s="53" t="n"/>
      <c r="K78" s="56" t="n">
        <v>0</v>
      </c>
      <c r="L78" s="58" t="n">
        <v>0</v>
      </c>
      <c r="M78" s="59">
        <f>(N78-K78)*F78</f>
        <v/>
      </c>
      <c r="N78" s="56">
        <f>K78*(1+L78)</f>
        <v/>
      </c>
    </row>
    <row r="79" ht="140" customHeight="1">
      <c r="A79" s="53" t="n">
        <v>68</v>
      </c>
      <c r="B79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Coconut Baskets (6 to 7 Inch) 1 Basket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79" s="53" t="inlineStr"/>
      <c r="D79" s="53" t="n"/>
      <c r="E79" s="55" t="inlineStr">
        <is>
          <t>Ex stock, subject to prior sales.</t>
        </is>
      </c>
      <c r="F79" s="56" t="n">
        <v>20</v>
      </c>
      <c r="G79" s="57" t="inlineStr">
        <is>
          <t>Each</t>
        </is>
      </c>
      <c r="H79" s="56" t="n">
        <v>0</v>
      </c>
      <c r="I79" s="56">
        <f>F79*H79</f>
        <v/>
      </c>
      <c r="J79" s="53" t="n"/>
      <c r="K79" s="56" t="n">
        <v>0</v>
      </c>
      <c r="L79" s="58" t="n">
        <v>0</v>
      </c>
      <c r="M79" s="59">
        <f>(N79-K79)*F79</f>
        <v/>
      </c>
      <c r="N79" s="56">
        <f>K79*(1+L79)</f>
        <v/>
      </c>
    </row>
    <row r="80" ht="18" customHeight="1"/>
    <row r="81" ht="18" customHeight="1">
      <c r="A81" s="60" t="inlineStr">
        <is>
          <t>Total Amount (AED).</t>
        </is>
      </c>
      <c r="B81" s="61" t="n"/>
      <c r="C81" s="61" t="n"/>
      <c r="D81" s="61" t="n"/>
      <c r="E81" s="61" t="n"/>
      <c r="F81" s="61" t="n"/>
      <c r="G81" s="61" t="n"/>
      <c r="H81" s="61" t="n"/>
      <c r="I81" s="62">
        <f>SUM(I12:I79)</f>
        <v/>
      </c>
    </row>
    <row r="82" ht="18" customHeight="1">
      <c r="A82" s="60" t="inlineStr">
        <is>
          <t>VAT 5% (AED).</t>
        </is>
      </c>
      <c r="B82" s="61" t="n"/>
      <c r="C82" s="61" t="n"/>
      <c r="D82" s="61" t="n"/>
      <c r="E82" s="61" t="n"/>
      <c r="F82" s="61" t="n"/>
      <c r="G82" s="61" t="n"/>
      <c r="H82" s="61" t="n"/>
      <c r="I82" s="62">
        <f>I81*0.05</f>
        <v/>
      </c>
    </row>
    <row r="83" ht="18" customHeight="1">
      <c r="A83" s="63" t="inlineStr">
        <is>
          <t>GRAND TOTAL AMOUNT (AED).</t>
        </is>
      </c>
      <c r="B83" s="64" t="n"/>
      <c r="C83" s="64" t="n"/>
      <c r="D83" s="64" t="n"/>
      <c r="E83" s="64" t="n"/>
      <c r="F83" s="64" t="n"/>
      <c r="G83" s="64" t="n"/>
      <c r="H83" s="64" t="n"/>
      <c r="I83" s="65">
        <f>SUM(I81:I82)</f>
        <v/>
      </c>
    </row>
    <row r="84" ht="18" customHeight="1"/>
    <row r="85" ht="18" customHeight="1">
      <c r="A85" s="66" t="inlineStr">
        <is>
          <t>TERMS:</t>
        </is>
      </c>
      <c r="B85" s="61" t="n"/>
      <c r="C85" s="61" t="n"/>
      <c r="D85" s="61" t="n"/>
      <c r="E85" s="61" t="n"/>
      <c r="F85" s="61" t="n"/>
      <c r="G85" s="61" t="n"/>
      <c r="H85" s="61" t="n"/>
      <c r="I85" s="61" t="n"/>
    </row>
    <row r="86" ht="18" customHeight="1">
      <c r="A86" s="67" t="inlineStr">
        <is>
          <t>Price:</t>
        </is>
      </c>
      <c r="B86" s="67" t="inlineStr"/>
      <c r="C86" s="61" t="n"/>
      <c r="D86" s="61" t="n"/>
      <c r="E86" s="61" t="n"/>
      <c r="F86" s="61" t="n"/>
      <c r="G86" s="61" t="n"/>
      <c r="H86" s="61" t="n"/>
      <c r="I86" s="61" t="n"/>
    </row>
    <row r="87" ht="18" customHeight="1">
      <c r="A87" s="67" t="inlineStr">
        <is>
          <t>Delivery:</t>
        </is>
      </c>
      <c r="B87" s="67" t="inlineStr">
        <is>
          <t>Stated in Description Column Against Each Item.</t>
        </is>
      </c>
      <c r="C87" s="61" t="n"/>
      <c r="D87" s="61" t="n"/>
      <c r="E87" s="61" t="n"/>
      <c r="F87" s="61" t="n"/>
      <c r="G87" s="61" t="n"/>
      <c r="H87" s="61" t="n"/>
      <c r="I87" s="61" t="n"/>
    </row>
    <row r="88" ht="18" customHeight="1">
      <c r="A88" s="67" t="inlineStr">
        <is>
          <t>Payment:</t>
        </is>
      </c>
      <c r="B88" s="67" t="inlineStr">
        <is>
          <t>30 Days Credit.</t>
        </is>
      </c>
      <c r="C88" s="61" t="n"/>
      <c r="D88" s="61" t="n"/>
      <c r="E88" s="61" t="n"/>
      <c r="F88" s="61" t="n"/>
      <c r="G88" s="61" t="n"/>
      <c r="H88" s="61" t="n"/>
      <c r="I88" s="61" t="n"/>
    </row>
    <row r="89" ht="18" customHeight="1">
      <c r="A89" s="67" t="inlineStr">
        <is>
          <t>Validity:</t>
        </is>
      </c>
      <c r="B89" s="67" t="inlineStr">
        <is>
          <t>15 days from offer date.</t>
        </is>
      </c>
      <c r="C89" s="61" t="n"/>
      <c r="D89" s="61" t="n"/>
      <c r="E89" s="61" t="n"/>
      <c r="F89" s="61" t="n"/>
      <c r="G89" s="61" t="n"/>
      <c r="H89" s="61" t="n"/>
      <c r="I89" s="61" t="n"/>
    </row>
    <row r="90" ht="18" customHeight="1"/>
    <row r="91" ht="18" customHeight="1">
      <c r="A91" t="inlineStr">
        <is>
          <t>Please revert for clarifications if any. Thank you for providing an opportunity to quote.</t>
        </is>
      </c>
    </row>
    <row r="92" ht="18" customHeight="1"/>
    <row r="93" ht="18" customHeight="1"/>
    <row r="94" ht="18" customHeight="1">
      <c r="A94" t="inlineStr">
        <is>
          <t>Best Regards,</t>
        </is>
      </c>
    </row>
    <row r="95" ht="18" customHeight="1"/>
    <row r="96" ht="18" customHeight="1"/>
    <row r="97" ht="18" customHeight="1">
      <c r="A97" s="68" t="inlineStr">
        <is>
          <t>(This message has been electronically transmitted and does not require a signature).</t>
        </is>
      </c>
    </row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690" ht="18" customHeight="1"/>
    <row r="729" ht="18" customHeight="1"/>
    <row r="768" ht="18" customHeight="1"/>
    <row r="807" ht="18" customHeight="1"/>
  </sheetData>
  <mergeCells count="21">
    <mergeCell ref="E3:I3"/>
    <mergeCell ref="A83:H83"/>
    <mergeCell ref="B3:C3"/>
    <mergeCell ref="A82:H82"/>
    <mergeCell ref="A91:J91"/>
    <mergeCell ref="E5:I5"/>
    <mergeCell ref="B2:C2"/>
    <mergeCell ref="B86:I86"/>
    <mergeCell ref="E4:I4"/>
    <mergeCell ref="A85:I85"/>
    <mergeCell ref="B88:I88"/>
    <mergeCell ref="E6:I6"/>
    <mergeCell ref="B87:I87"/>
    <mergeCell ref="E2:I2"/>
    <mergeCell ref="A9:I9"/>
    <mergeCell ref="B6:C6"/>
    <mergeCell ref="A81:H81"/>
    <mergeCell ref="B5:C5"/>
    <mergeCell ref="A1:I1"/>
    <mergeCell ref="B89:I89"/>
    <mergeCell ref="B4:C4"/>
  </mergeCells>
  <printOptions horizontalCentered="1"/>
  <pageMargins left="0" right="0" top="0.9" bottom="0.88" header="0.118110236220472" footer="0.118110236220472"/>
  <pageSetup orientation="landscape" paperSize="9" scale="80"/>
  <headerFooter scaleWithDoc="0">
    <oddHeader>&amp;C&amp;"Arial Black,Bold"&amp;20 &amp;G</oddHeader>
    <oddFooter>&amp;C&amp;G&amp;RPage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Rea Angsioco</dc:creator>
  <dcterms:created xmlns:dcterms="http://purl.org/dc/terms/" xmlns:xsi="http://www.w3.org/2001/XMLSchema-instance" xsi:type="dcterms:W3CDTF">2013-02-13T15:36:31Z</dcterms:created>
  <dcterms:modified xmlns:dcterms="http://purl.org/dc/terms/" xmlns:xsi="http://www.w3.org/2001/XMLSchema-instance" xsi:type="dcterms:W3CDTF">2026-02-01T16:38:22Z</dcterms:modified>
</cp:coreProperties>
</file>