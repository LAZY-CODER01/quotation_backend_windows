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Filter Astral Cantabric Collector Anssembly Co.No 15783R0200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1</v>
      </c>
      <c r="G12" s="57" t="inlineStr">
        <is>
          <t>Each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Pre-Rinse Shower Unit Sky (Plastic 250Mm,Made By Rdf Italy)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3</v>
      </c>
      <c r="G13" s="57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Full Set P Trap Type Two Piece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2</v>
      </c>
      <c r="G14" s="57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Automatic Water Level Controller (Code 49A002 For Press Mach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5</v>
      </c>
      <c r="G15" s="57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AE4430Y - FZ1A R (134A Gas) LRA 11.5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2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AE4430Z GS1A R404A LRA 14.5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2</v>
      </c>
      <c r="G17" s="57" t="inlineStr">
        <is>
          <t>Each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SC21CL R 404L 220-240V For Upright Chiller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2</v>
      </c>
      <c r="G18" s="57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Control Valve PEL21S CE0085 AQ0608 for Gas Stove Burner (Commercial Copper Cooker LPG Gas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10</v>
      </c>
      <c r="G19" s="57" t="inlineStr">
        <is>
          <t>Each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Water Level Control Gasket D5 6 Holes D12 - Model:Tornado 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6</v>
      </c>
      <c r="G20" s="57" t="inlineStr">
        <is>
          <t>Each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AC Outdoor Motor YDK55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3</v>
      </c>
      <c r="G21" s="57" t="inlineStr">
        <is>
          <t>Each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Black Tape 2Inch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60</v>
      </c>
      <c r="G22" s="57" t="inlineStr">
        <is>
          <t>Each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R410A (Honeywell)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5</v>
      </c>
      <c r="G23" s="57" t="inlineStr">
        <is>
          <t>Each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R-407 C Gas Cylinder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3</v>
      </c>
      <c r="G24" s="57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Black Can (ABRO)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72</v>
      </c>
      <c r="G25" s="57" t="inlineStr">
        <is>
          <t>Each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- 1000 -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50</v>
      </c>
      <c r="G26" s="57" t="inlineStr">
        <is>
          <t>Each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- 600 -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50</v>
      </c>
      <c r="G27" s="57" t="inlineStr">
        <is>
          <t>Each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Combination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12</v>
      </c>
      <c r="G28" s="57" t="inlineStr">
        <is>
          <t>Each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Electrical Tester (Taparia 813 Yellow)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24</v>
      </c>
      <c r="G29" s="57" t="inlineStr">
        <is>
          <t>Each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Goggles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50</v>
      </c>
      <c r="G30" s="57" t="inlineStr">
        <is>
          <t>Each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Measuring (Stanley) 5Mtr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10</v>
      </c>
      <c r="G31" s="57" t="inlineStr">
        <is>
          <t>Each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1inch 855(Peglar)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10</v>
      </c>
      <c r="G32" s="57" t="inlineStr">
        <is>
          <t>Each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Vaccum Head M.No HD 70 Certikin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10</v>
      </c>
      <c r="G33" s="57" t="inlineStr">
        <is>
          <t>Each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S/Pool Stick length: 3Mtrs (Aluminium Telescopic Pole)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5</v>
      </c>
      <c r="G34" s="57" t="inlineStr">
        <is>
          <t>Each</t>
        </is>
      </c>
      <c r="H34" s="56" t="n">
        <v>0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Filter Astral Pools (big) Code 15784-0100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1</v>
      </c>
      <c r="G35" s="57" t="inlineStr">
        <is>
          <t>Each</t>
        </is>
      </c>
      <c r="H35" s="56" t="n">
        <v>0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STP Hydrated Lime 25 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10</v>
      </c>
      <c r="G36" s="57" t="inlineStr">
        <is>
          <t>Each</t>
        </is>
      </c>
      <c r="H36" s="56" t="n">
        <v>0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Submersible Pump (Brand :Pedrollo Top Multi 2) 0.75HP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3</v>
      </c>
      <c r="G37" s="57" t="inlineStr">
        <is>
          <t>Each</t>
        </is>
      </c>
      <c r="H37" s="56" t="n">
        <v>0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Concrete Nail 1"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10</v>
      </c>
      <c r="G38" s="57" t="inlineStr">
        <is>
          <t>Each</t>
        </is>
      </c>
      <c r="H38" s="56" t="n">
        <v>0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Door Closer YALE - DCR-1824FR(2122) Silver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6</v>
      </c>
      <c r="G39" s="57" t="inlineStr">
        <is>
          <t>Each</t>
        </is>
      </c>
      <c r="H39" s="56" t="n">
        <v>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Panel Pins 3/4 inch x 17 (Pkt)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10</v>
      </c>
      <c r="G40" s="57" t="inlineStr">
        <is>
          <t>Each</t>
        </is>
      </c>
      <c r="H40" s="56" t="n">
        <v>0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Privacy Screen Roll - Grenn Color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3</v>
      </c>
      <c r="G41" s="57" t="inlineStr">
        <is>
          <t>Each</t>
        </is>
      </c>
      <c r="H41" s="56" t="n">
        <v>0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1 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10</v>
      </c>
      <c r="G42" s="57" t="inlineStr">
        <is>
          <t>Each</t>
        </is>
      </c>
      <c r="H42" s="56" t="n">
        <v>0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Screws 1 1/2" X No. 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15</v>
      </c>
      <c r="G43" s="57" t="inlineStr">
        <is>
          <t>Each</t>
        </is>
      </c>
      <c r="H43" s="56" t="n">
        <v>0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 Feet LED Tube Light 10w Daylight 240v 50/60Hz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25</v>
      </c>
      <c r="G44" s="57" t="inlineStr">
        <is>
          <t>Each</t>
        </is>
      </c>
      <c r="H44" s="56" t="n">
        <v>0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Double Tube Light Fitting With Cover 4"(Selex)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6</v>
      </c>
      <c r="G45" s="57" t="inlineStr">
        <is>
          <t>Each</t>
        </is>
      </c>
      <c r="H45" s="56" t="n">
        <v>0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Flourescent Day Light Tube 4ft(Philips) TL-D 36W54-765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25</v>
      </c>
      <c r="G46" s="57" t="inlineStr">
        <is>
          <t>Each</t>
        </is>
      </c>
      <c r="H46" s="56" t="n">
        <v>0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S10P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s="53" t="inlineStr"/>
      <c r="D47" s="53" t="n"/>
      <c r="E47" s="55" t="inlineStr">
        <is>
          <t>Ex stock, subject to prior sales.</t>
        </is>
      </c>
      <c r="F47" s="56" t="n">
        <v>25</v>
      </c>
      <c r="G47" s="57" t="inlineStr">
        <is>
          <t>Each</t>
        </is>
      </c>
      <c r="H47" s="56" t="n">
        <v>0</v>
      </c>
      <c r="I47" s="56">
        <f>F47*H47</f>
        <v/>
      </c>
      <c r="J47" s="53" t="n"/>
      <c r="K47" s="56" t="n">
        <v>0</v>
      </c>
      <c r="L47" s="58" t="n">
        <v>0</v>
      </c>
      <c r="M47" s="59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S2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s="53" t="inlineStr"/>
      <c r="D48" s="53" t="n"/>
      <c r="E48" s="55" t="inlineStr">
        <is>
          <t>Ex stock, subject to prior sales.</t>
        </is>
      </c>
      <c r="F48" s="56" t="n">
        <v>25</v>
      </c>
      <c r="G48" s="57" t="inlineStr">
        <is>
          <t>Each</t>
        </is>
      </c>
      <c r="H48" s="56" t="n">
        <v>0</v>
      </c>
      <c r="I48" s="56">
        <f>F48*H48</f>
        <v/>
      </c>
      <c r="J48" s="53" t="n"/>
      <c r="K48" s="56" t="n">
        <v>0</v>
      </c>
      <c r="L48" s="58" t="n">
        <v>0</v>
      </c>
      <c r="M48" s="59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Battery Oprated Somke Detector Brand - Andeli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s="53" t="inlineStr"/>
      <c r="D49" s="53" t="n"/>
      <c r="E49" s="55" t="inlineStr">
        <is>
          <t>Ex stock, subject to prior sales.</t>
        </is>
      </c>
      <c r="F49" s="56" t="n">
        <v>30</v>
      </c>
      <c r="G49" s="57" t="inlineStr">
        <is>
          <t>Each</t>
        </is>
      </c>
      <c r="H49" s="56" t="n">
        <v>0</v>
      </c>
      <c r="I49" s="56">
        <f>F49*H49</f>
        <v/>
      </c>
      <c r="J49" s="53" t="n"/>
      <c r="K49" s="56" t="n">
        <v>0</v>
      </c>
      <c r="L49" s="58" t="n">
        <v>0</v>
      </c>
      <c r="M49" s="59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Hydrant Cap ( Bs Instantaneous Male Blank Cap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s="53" t="inlineStr"/>
      <c r="D50" s="53" t="n"/>
      <c r="E50" s="55" t="inlineStr">
        <is>
          <t>Ex stock, subject to prior sales.</t>
        </is>
      </c>
      <c r="F50" s="56" t="n">
        <v>10</v>
      </c>
      <c r="G50" s="57" t="inlineStr">
        <is>
          <t>Each</t>
        </is>
      </c>
      <c r="H50" s="56" t="n">
        <v>0</v>
      </c>
      <c r="I50" s="56">
        <f>F50*H50</f>
        <v/>
      </c>
      <c r="J50" s="53" t="n"/>
      <c r="K50" s="56" t="n">
        <v>0</v>
      </c>
      <c r="L50" s="58" t="n">
        <v>0</v>
      </c>
      <c r="M50" s="59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s="53" t="inlineStr"/>
      <c r="D51" s="53" t="n"/>
      <c r="E51" s="55" t="inlineStr">
        <is>
          <t>Ex stock, subject to prior sales.</t>
        </is>
      </c>
      <c r="F51" s="56" t="n">
        <v>200</v>
      </c>
      <c r="G51" s="57" t="inlineStr">
        <is>
          <t>Each</t>
        </is>
      </c>
      <c r="H51" s="56" t="n">
        <v>0</v>
      </c>
      <c r="I51" s="56">
        <f>F51*H51</f>
        <v/>
      </c>
      <c r="J51" s="53" t="n"/>
      <c r="K51" s="56" t="n">
        <v>0</v>
      </c>
      <c r="L51" s="58" t="n">
        <v>0</v>
      </c>
      <c r="M51" s="59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s="53" t="inlineStr"/>
      <c r="D52" s="53" t="n"/>
      <c r="E52" s="55" t="inlineStr">
        <is>
          <t>Ex stock, subject to prior sales.</t>
        </is>
      </c>
      <c r="F52" s="56" t="n">
        <v>400</v>
      </c>
      <c r="G52" s="57" t="inlineStr">
        <is>
          <t>Each</t>
        </is>
      </c>
      <c r="H52" s="56" t="n">
        <v>0</v>
      </c>
      <c r="I52" s="56">
        <f>F52*H52</f>
        <v/>
      </c>
      <c r="J52" s="53" t="n"/>
      <c r="K52" s="56" t="n">
        <v>0</v>
      </c>
      <c r="L52" s="58" t="n">
        <v>0</v>
      </c>
      <c r="M52" s="59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Disposable Coveralls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s="53" t="inlineStr"/>
      <c r="D53" s="53" t="n"/>
      <c r="E53" s="55" t="inlineStr">
        <is>
          <t>Ex stock, subject to prior sales.</t>
        </is>
      </c>
      <c r="F53" s="56" t="n">
        <v>12</v>
      </c>
      <c r="G53" s="57" t="inlineStr">
        <is>
          <t>Each</t>
        </is>
      </c>
      <c r="H53" s="56" t="n">
        <v>0</v>
      </c>
      <c r="I53" s="56">
        <f>F53*H53</f>
        <v/>
      </c>
      <c r="J53" s="53" t="n"/>
      <c r="K53" s="56" t="n">
        <v>0</v>
      </c>
      <c r="L53" s="58" t="n">
        <v>0</v>
      </c>
      <c r="M53" s="59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Dust Mask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s="53" t="inlineStr"/>
      <c r="D54" s="53" t="n"/>
      <c r="E54" s="55" t="inlineStr">
        <is>
          <t>Ex stock, subject to prior sales.</t>
        </is>
      </c>
      <c r="F54" s="56" t="n">
        <v>20</v>
      </c>
      <c r="G54" s="57" t="inlineStr">
        <is>
          <t>Each</t>
        </is>
      </c>
      <c r="H54" s="56" t="n">
        <v>0</v>
      </c>
      <c r="I54" s="56">
        <f>F54*H54</f>
        <v/>
      </c>
      <c r="J54" s="53" t="n"/>
      <c r="K54" s="56" t="n">
        <v>0</v>
      </c>
      <c r="L54" s="58" t="n">
        <v>0</v>
      </c>
      <c r="M54" s="59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Gloves Blue Cotton Medium Dotted Vaultex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s="53" t="inlineStr"/>
      <c r="D55" s="53" t="n"/>
      <c r="E55" s="55" t="inlineStr">
        <is>
          <t>Ex stock, subject to prior sales.</t>
        </is>
      </c>
      <c r="F55" s="56" t="n">
        <v>20</v>
      </c>
      <c r="G55" s="57" t="inlineStr">
        <is>
          <t>Each</t>
        </is>
      </c>
      <c r="H55" s="56" t="n">
        <v>0</v>
      </c>
      <c r="I55" s="56">
        <f>F55*H55</f>
        <v/>
      </c>
      <c r="J55" s="53" t="n"/>
      <c r="K55" s="56" t="n">
        <v>0</v>
      </c>
      <c r="L55" s="58" t="n">
        <v>0</v>
      </c>
      <c r="M55" s="59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Rubber Bush (Bottle Trap) 2" x 1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s="53" t="inlineStr"/>
      <c r="D56" s="53" t="n"/>
      <c r="E56" s="55" t="inlineStr">
        <is>
          <t>Ex stock, subject to prior sales.</t>
        </is>
      </c>
      <c r="F56" s="56" t="n">
        <v>10</v>
      </c>
      <c r="G56" s="57" t="inlineStr">
        <is>
          <t>Each</t>
        </is>
      </c>
      <c r="H56" s="56" t="n">
        <v>0</v>
      </c>
      <c r="I56" s="56">
        <f>F56*H56</f>
        <v/>
      </c>
      <c r="J56" s="53" t="n"/>
      <c r="K56" s="56" t="n">
        <v>0</v>
      </c>
      <c r="L56" s="58" t="n">
        <v>0</v>
      </c>
      <c r="M56" s="59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Wall Scrapper 3Inch (Hyde)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s="53" t="inlineStr"/>
      <c r="D57" s="53" t="n"/>
      <c r="E57" s="55" t="inlineStr">
        <is>
          <t>Ex stock, subject to prior sales.</t>
        </is>
      </c>
      <c r="F57" s="56" t="n">
        <v>12</v>
      </c>
      <c r="G57" s="57" t="inlineStr">
        <is>
          <t>Each</t>
        </is>
      </c>
      <c r="H57" s="56" t="n">
        <v>0</v>
      </c>
      <c r="I57" s="56">
        <f>F57*H57</f>
        <v/>
      </c>
      <c r="J57" s="53" t="n"/>
      <c r="K57" s="56" t="n">
        <v>0</v>
      </c>
      <c r="L57" s="58" t="n">
        <v>0</v>
      </c>
      <c r="M57" s="59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WD-40 (400 ml)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s="53" t="inlineStr"/>
      <c r="D58" s="53" t="n"/>
      <c r="E58" s="55" t="inlineStr">
        <is>
          <t>Ex stock, subject to prior sales.</t>
        </is>
      </c>
      <c r="F58" s="56" t="n">
        <v>24</v>
      </c>
      <c r="G58" s="57" t="inlineStr">
        <is>
          <t>Each</t>
        </is>
      </c>
      <c r="H58" s="56" t="n">
        <v>0</v>
      </c>
      <c r="I58" s="56">
        <f>F58*H58</f>
        <v/>
      </c>
      <c r="J58" s="53" t="n"/>
      <c r="K58" s="56" t="n">
        <v>0</v>
      </c>
      <c r="L58" s="58" t="n">
        <v>0</v>
      </c>
      <c r="M58" s="59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Brush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s="53" t="inlineStr"/>
      <c r="D59" s="53" t="n"/>
      <c r="E59" s="55" t="inlineStr">
        <is>
          <t>Ex stock, subject to prior sales.</t>
        </is>
      </c>
      <c r="F59" s="56" t="n">
        <v>12</v>
      </c>
      <c r="G59" s="57" t="inlineStr">
        <is>
          <t>Each</t>
        </is>
      </c>
      <c r="H59" s="56" t="n">
        <v>0</v>
      </c>
      <c r="I59" s="56">
        <f>F59*H59</f>
        <v/>
      </c>
      <c r="J59" s="53" t="n"/>
      <c r="K59" s="56" t="n">
        <v>0</v>
      </c>
      <c r="L59" s="58" t="n">
        <v>0</v>
      </c>
      <c r="M59" s="59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Lug (Ring Type) 6Mm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/>
      <c r="D60" s="53" t="n"/>
      <c r="E60" s="55" t="inlineStr">
        <is>
          <t>Ex stock, subject to prior sales.</t>
        </is>
      </c>
      <c r="F60" s="56" t="n">
        <v>200</v>
      </c>
      <c r="G60" s="57" t="inlineStr">
        <is>
          <t>Each</t>
        </is>
      </c>
      <c r="H60" s="56" t="n">
        <v>0</v>
      </c>
      <c r="I60" s="56">
        <f>F60*H60</f>
        <v/>
      </c>
      <c r="J60" s="53" t="n"/>
      <c r="K60" s="56" t="n">
        <v>0</v>
      </c>
      <c r="L60" s="58" t="n">
        <v>0</v>
      </c>
      <c r="M60" s="59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50L Water Heater Milano - Horizontal Made Italy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s="53" t="inlineStr"/>
      <c r="D61" s="53" t="n"/>
      <c r="E61" s="55" t="inlineStr">
        <is>
          <t>Ex stock, subject to prior sales.</t>
        </is>
      </c>
      <c r="F61" s="56" t="n">
        <v>10</v>
      </c>
      <c r="G61" s="57" t="inlineStr">
        <is>
          <t>Each</t>
        </is>
      </c>
      <c r="H61" s="56" t="n">
        <v>0</v>
      </c>
      <c r="I61" s="56">
        <f>F61*H61</f>
        <v/>
      </c>
      <c r="J61" s="53" t="n"/>
      <c r="K61" s="56" t="n">
        <v>0</v>
      </c>
      <c r="L61" s="58" t="n">
        <v>0</v>
      </c>
      <c r="M61" s="59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Bath Shower Mixer F23000C (Tredex)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s="53" t="inlineStr"/>
      <c r="D62" s="53" t="n"/>
      <c r="E62" s="55" t="inlineStr">
        <is>
          <t>Ex stock, subject to prior sales.</t>
        </is>
      </c>
      <c r="F62" s="56" t="n">
        <v>3</v>
      </c>
      <c r="G62" s="57" t="inlineStr">
        <is>
          <t>Each</t>
        </is>
      </c>
      <c r="H62" s="56" t="n">
        <v>0</v>
      </c>
      <c r="I62" s="56">
        <f>F62*H62</f>
        <v/>
      </c>
      <c r="J62" s="53" t="n"/>
      <c r="K62" s="56" t="n">
        <v>0</v>
      </c>
      <c r="L62" s="58" t="n">
        <v>0</v>
      </c>
      <c r="M62" s="59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s="53" t="inlineStr"/>
      <c r="D63" s="53" t="n"/>
      <c r="E63" s="55" t="inlineStr">
        <is>
          <t>Ex stock, subject to prior sales.</t>
        </is>
      </c>
      <c r="F63" s="56" t="n">
        <v>20</v>
      </c>
      <c r="G63" s="57" t="inlineStr">
        <is>
          <t>Each</t>
        </is>
      </c>
      <c r="H63" s="56" t="n">
        <v>0</v>
      </c>
      <c r="I63" s="56">
        <f>F63*H63</f>
        <v/>
      </c>
      <c r="J63" s="53" t="n"/>
      <c r="K63" s="56" t="n">
        <v>0</v>
      </c>
      <c r="L63" s="58" t="n">
        <v>0</v>
      </c>
      <c r="M63" s="59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s="53" t="inlineStr"/>
      <c r="D64" s="53" t="n"/>
      <c r="E64" s="55" t="inlineStr">
        <is>
          <t>Ex stock, subject to prior sales.</t>
        </is>
      </c>
      <c r="F64" s="56" t="n">
        <v>20</v>
      </c>
      <c r="G64" s="57" t="inlineStr">
        <is>
          <t>Each</t>
        </is>
      </c>
      <c r="H64" s="56" t="n">
        <v>0</v>
      </c>
      <c r="I64" s="56">
        <f>F64*H64</f>
        <v/>
      </c>
      <c r="J64" s="53" t="n"/>
      <c r="K64" s="56" t="n">
        <v>0</v>
      </c>
      <c r="L64" s="58" t="n">
        <v>0</v>
      </c>
      <c r="M64" s="59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s="53" t="inlineStr"/>
      <c r="D65" s="53" t="n"/>
      <c r="E65" s="55" t="inlineStr">
        <is>
          <t>Ex stock, subject to prior sales.</t>
        </is>
      </c>
      <c r="F65" s="56" t="n">
        <v>20</v>
      </c>
      <c r="G65" s="57" t="inlineStr">
        <is>
          <t>Each</t>
        </is>
      </c>
      <c r="H65" s="56" t="n">
        <v>0</v>
      </c>
      <c r="I65" s="56">
        <f>F65*H65</f>
        <v/>
      </c>
      <c r="J65" s="53" t="n"/>
      <c r="K65" s="56" t="n">
        <v>0</v>
      </c>
      <c r="L65" s="58" t="n">
        <v>0</v>
      </c>
      <c r="M65" s="59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Gasket Shellac 59ml (Btl)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s="53" t="inlineStr"/>
      <c r="D66" s="53" t="n"/>
      <c r="E66" s="55" t="inlineStr">
        <is>
          <t>Ex stock, subject to prior sales.</t>
        </is>
      </c>
      <c r="F66" s="56" t="n">
        <v>20</v>
      </c>
      <c r="G66" s="57" t="inlineStr">
        <is>
          <t>Each</t>
        </is>
      </c>
      <c r="H66" s="56" t="n">
        <v>0</v>
      </c>
      <c r="I66" s="56">
        <f>F66*H66</f>
        <v/>
      </c>
      <c r="J66" s="53" t="n"/>
      <c r="K66" s="56" t="n">
        <v>0</v>
      </c>
      <c r="L66" s="58" t="n">
        <v>0</v>
      </c>
      <c r="M66" s="59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Shower Head (for Host Aera)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s="53" t="inlineStr"/>
      <c r="D67" s="53" t="n"/>
      <c r="E67" s="55" t="inlineStr">
        <is>
          <t>Ex stock, subject to prior sales.</t>
        </is>
      </c>
      <c r="F67" s="56" t="n">
        <v>10</v>
      </c>
      <c r="G67" s="57" t="inlineStr">
        <is>
          <t>Each</t>
        </is>
      </c>
      <c r="H67" s="56" t="n">
        <v>0</v>
      </c>
      <c r="I67" s="56">
        <f>F67*H67</f>
        <v/>
      </c>
      <c r="J67" s="53" t="n"/>
      <c r="K67" s="56" t="n">
        <v>0</v>
      </c>
      <c r="L67" s="58" t="n">
        <v>0</v>
      </c>
      <c r="M67" s="59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 Seal (Pidilite)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s="53" t="inlineStr"/>
      <c r="D68" s="53" t="n"/>
      <c r="E68" s="55" t="inlineStr">
        <is>
          <t>Ex stock, subject to prior sales.</t>
        </is>
      </c>
      <c r="F68" s="56" t="n">
        <v>36</v>
      </c>
      <c r="G68" s="57" t="inlineStr">
        <is>
          <t>Each</t>
        </is>
      </c>
      <c r="H68" s="56" t="n">
        <v>0</v>
      </c>
      <c r="I68" s="56">
        <f>F68*H68</f>
        <v/>
      </c>
      <c r="J68" s="53" t="n"/>
      <c r="K68" s="56" t="n">
        <v>0</v>
      </c>
      <c r="L68" s="58" t="n">
        <v>0</v>
      </c>
      <c r="M68" s="59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Wash Basin Mixer Taps (Model:33265001) Grohe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s="53" t="inlineStr"/>
      <c r="D69" s="53" t="n"/>
      <c r="E69" s="55" t="inlineStr">
        <is>
          <t>Ex stock, subject to prior sales.</t>
        </is>
      </c>
      <c r="F69" s="56" t="n">
        <v>5</v>
      </c>
      <c r="G69" s="57" t="inlineStr">
        <is>
          <t>Each</t>
        </is>
      </c>
      <c r="H69" s="56" t="n">
        <v>0</v>
      </c>
      <c r="I69" s="56">
        <f>F69*H69</f>
        <v/>
      </c>
      <c r="J69" s="53" t="n"/>
      <c r="K69" s="56" t="n">
        <v>0</v>
      </c>
      <c r="L69" s="58" t="n">
        <v>0</v>
      </c>
      <c r="M69" s="59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Hand Shower Brand Daniel (Model:Dan 1000Zsr)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s="53" t="inlineStr"/>
      <c r="D70" s="53" t="n"/>
      <c r="E70" s="55" t="inlineStr">
        <is>
          <t>Ex stock, subject to prior sales.</t>
        </is>
      </c>
      <c r="F70" s="56" t="n">
        <v>15</v>
      </c>
      <c r="G70" s="57" t="inlineStr">
        <is>
          <t>Each</t>
        </is>
      </c>
      <c r="H70" s="56" t="n">
        <v>0</v>
      </c>
      <c r="I70" s="56">
        <f>F70*H70</f>
        <v/>
      </c>
      <c r="J70" s="53" t="n"/>
      <c r="K70" s="56" t="n">
        <v>0</v>
      </c>
      <c r="L70" s="58" t="n">
        <v>0</v>
      </c>
      <c r="M70" s="59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Aluminium Rake Sticks Long 5 feet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s="53" t="inlineStr"/>
      <c r="D71" s="53" t="n"/>
      <c r="E71" s="55" t="inlineStr">
        <is>
          <t>Ex stock, subject to prior sales.</t>
        </is>
      </c>
      <c r="F71" s="56" t="n">
        <v>30</v>
      </c>
      <c r="G71" s="57" t="inlineStr">
        <is>
          <t>Each</t>
        </is>
      </c>
      <c r="H71" s="56" t="n">
        <v>0</v>
      </c>
      <c r="I71" s="56">
        <f>F71*H71</f>
        <v/>
      </c>
      <c r="J71" s="53" t="n"/>
      <c r="K71" s="56" t="n">
        <v>0</v>
      </c>
      <c r="L71" s="58" t="n">
        <v>0</v>
      </c>
      <c r="M71" s="59">
        <f>(N71-K71)*F71</f>
        <v/>
      </c>
      <c r="N71" s="56">
        <f>K71*(1+L71)</f>
        <v/>
      </c>
    </row>
    <row r="72" ht="140" customHeight="1">
      <c r="A72" s="53" t="n">
        <v>61</v>
      </c>
      <c r="B7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Fiber Block 30cm x 30cm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2" s="53" t="inlineStr"/>
      <c r="D72" s="53" t="n"/>
      <c r="E72" s="55" t="inlineStr">
        <is>
          <t>Ex stock, subject to prior sales.</t>
        </is>
      </c>
      <c r="F72" s="56" t="n">
        <v>20</v>
      </c>
      <c r="G72" s="57" t="inlineStr">
        <is>
          <t>Each</t>
        </is>
      </c>
      <c r="H72" s="56" t="n">
        <v>0</v>
      </c>
      <c r="I72" s="56">
        <f>F72*H72</f>
        <v/>
      </c>
      <c r="J72" s="53" t="n"/>
      <c r="K72" s="56" t="n">
        <v>0</v>
      </c>
      <c r="L72" s="58" t="n">
        <v>0</v>
      </c>
      <c r="M72" s="59">
        <f>(N72-K72)*F72</f>
        <v/>
      </c>
      <c r="N72" s="56">
        <f>K72*(1+L72)</f>
        <v/>
      </c>
    </row>
    <row r="73" ht="140" customHeight="1">
      <c r="A73" s="53" t="n">
        <v>62</v>
      </c>
      <c r="B7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Saw (Samurai)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3" s="53" t="inlineStr"/>
      <c r="D73" s="53" t="n"/>
      <c r="E73" s="55" t="inlineStr">
        <is>
          <t>Ex stock, subject to prior sales.</t>
        </is>
      </c>
      <c r="F73" s="56" t="n">
        <v>20</v>
      </c>
      <c r="G73" s="57" t="inlineStr">
        <is>
          <t>Each</t>
        </is>
      </c>
      <c r="H73" s="56" t="n">
        <v>0</v>
      </c>
      <c r="I73" s="56">
        <f>F73*H73</f>
        <v/>
      </c>
      <c r="J73" s="53" t="n"/>
      <c r="K73" s="56" t="n">
        <v>0</v>
      </c>
      <c r="L73" s="58" t="n">
        <v>0</v>
      </c>
      <c r="M73" s="59">
        <f>(N73-K73)*F73</f>
        <v/>
      </c>
      <c r="N73" s="56">
        <f>K73*(1+L73)</f>
        <v/>
      </c>
    </row>
    <row r="74" ht="140" customHeight="1">
      <c r="A74" s="53" t="n">
        <v>63</v>
      </c>
      <c r="B7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Shovel (Protech)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4" s="53" t="inlineStr"/>
      <c r="D74" s="53" t="n"/>
      <c r="E74" s="55" t="inlineStr">
        <is>
          <t>Ex stock, subject to prior sales.</t>
        </is>
      </c>
      <c r="F74" s="56" t="n">
        <v>3</v>
      </c>
      <c r="G74" s="57" t="inlineStr">
        <is>
          <t>Each</t>
        </is>
      </c>
      <c r="H74" s="56" t="n">
        <v>0</v>
      </c>
      <c r="I74" s="56">
        <f>F74*H74</f>
        <v/>
      </c>
      <c r="J74" s="53" t="n"/>
      <c r="K74" s="56" t="n">
        <v>0</v>
      </c>
      <c r="L74" s="58" t="n">
        <v>0</v>
      </c>
      <c r="M74" s="59">
        <f>(N74-K74)*F74</f>
        <v/>
      </c>
      <c r="N74" s="56">
        <f>K74*(1+L74)</f>
        <v/>
      </c>
    </row>
    <row r="75" ht="140" customHeight="1">
      <c r="A75" s="53" t="n">
        <v>64</v>
      </c>
      <c r="B7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Neem Guard (Shalimar Bio Tec)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5" s="53" t="inlineStr"/>
      <c r="D75" s="53" t="n"/>
      <c r="E75" s="55" t="inlineStr">
        <is>
          <t>Ex stock, subject to prior sales.</t>
        </is>
      </c>
      <c r="F75" s="56" t="n">
        <v>2</v>
      </c>
      <c r="G75" s="57" t="inlineStr">
        <is>
          <t>Each</t>
        </is>
      </c>
      <c r="H75" s="56" t="n">
        <v>0</v>
      </c>
      <c r="I75" s="56">
        <f>F75*H75</f>
        <v/>
      </c>
      <c r="J75" s="53" t="n"/>
      <c r="K75" s="56" t="n">
        <v>0</v>
      </c>
      <c r="L75" s="58" t="n">
        <v>0</v>
      </c>
      <c r="M75" s="59">
        <f>(N75-K75)*F75</f>
        <v/>
      </c>
      <c r="N75" s="56">
        <f>K75*(1+L75)</f>
        <v/>
      </c>
    </row>
    <row r="76" ht="140" customHeight="1">
      <c r="A76" s="53" t="n">
        <v>65</v>
      </c>
      <c r="B7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Peat Moss - 20 Kg Bag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6" s="53" t="inlineStr"/>
      <c r="D76" s="53" t="n"/>
      <c r="E76" s="55" t="inlineStr">
        <is>
          <t>Ex stock, subject to prior sales.</t>
        </is>
      </c>
      <c r="F76" s="56" t="n">
        <v>5</v>
      </c>
      <c r="G76" s="57" t="inlineStr">
        <is>
          <t>Each</t>
        </is>
      </c>
      <c r="H76" s="56" t="n">
        <v>0</v>
      </c>
      <c r="I76" s="56">
        <f>F76*H76</f>
        <v/>
      </c>
      <c r="J76" s="53" t="n"/>
      <c r="K76" s="56" t="n">
        <v>0</v>
      </c>
      <c r="L76" s="58" t="n">
        <v>0</v>
      </c>
      <c r="M76" s="59">
        <f>(N76-K76)*F76</f>
        <v/>
      </c>
      <c r="N76" s="56">
        <f>K76*(1+L76)</f>
        <v/>
      </c>
    </row>
    <row r="77" ht="140" customHeight="1">
      <c r="A77" s="53" t="n">
        <v>66</v>
      </c>
      <c r="B7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Plastic Rake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7" s="53" t="inlineStr"/>
      <c r="D77" s="53" t="n"/>
      <c r="E77" s="55" t="inlineStr">
        <is>
          <t>Ex stock, subject to prior sales.</t>
        </is>
      </c>
      <c r="F77" s="56" t="n">
        <v>30</v>
      </c>
      <c r="G77" s="57" t="inlineStr">
        <is>
          <t>Each</t>
        </is>
      </c>
      <c r="H77" s="56" t="n">
        <v>0</v>
      </c>
      <c r="I77" s="56">
        <f>F77*H77</f>
        <v/>
      </c>
      <c r="J77" s="53" t="n"/>
      <c r="K77" s="56" t="n">
        <v>0</v>
      </c>
      <c r="L77" s="58" t="n">
        <v>0</v>
      </c>
      <c r="M77" s="59">
        <f>(N77-K77)*F77</f>
        <v/>
      </c>
      <c r="N77" s="56">
        <f>K77*(1+L77)</f>
        <v/>
      </c>
    </row>
    <row r="78" ht="140" customHeight="1">
      <c r="A78" s="53" t="n">
        <v>67</v>
      </c>
      <c r="B7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Sickles (Round Type Garden Saw)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8" s="53" t="inlineStr"/>
      <c r="D78" s="53" t="n"/>
      <c r="E78" s="55" t="inlineStr">
        <is>
          <t>Ex stock, subject to prior sales.</t>
        </is>
      </c>
      <c r="F78" s="56" t="n">
        <v>24</v>
      </c>
      <c r="G78" s="57" t="inlineStr">
        <is>
          <t>Each</t>
        </is>
      </c>
      <c r="H78" s="56" t="n">
        <v>0</v>
      </c>
      <c r="I78" s="56">
        <f>F78*H78</f>
        <v/>
      </c>
      <c r="J78" s="53" t="n"/>
      <c r="K78" s="56" t="n">
        <v>0</v>
      </c>
      <c r="L78" s="58" t="n">
        <v>0</v>
      </c>
      <c r="M78" s="59">
        <f>(N78-K78)*F78</f>
        <v/>
      </c>
      <c r="N78" s="56">
        <f>K78*(1+L78)</f>
        <v/>
      </c>
    </row>
    <row r="79" ht="140" customHeight="1">
      <c r="A79" s="53" t="n">
        <v>68</v>
      </c>
      <c r="B7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Baskets (6 to 7 Inch) 1 Basket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9" s="53" t="inlineStr"/>
      <c r="D79" s="53" t="n"/>
      <c r="E79" s="55" t="inlineStr">
        <is>
          <t>Ex stock, subject to prior sales.</t>
        </is>
      </c>
      <c r="F79" s="56" t="n">
        <v>20</v>
      </c>
      <c r="G79" s="57" t="inlineStr">
        <is>
          <t>Each</t>
        </is>
      </c>
      <c r="H79" s="56" t="n">
        <v>0</v>
      </c>
      <c r="I79" s="56">
        <f>F79*H79</f>
        <v/>
      </c>
      <c r="J79" s="53" t="n"/>
      <c r="K79" s="56" t="n">
        <v>0</v>
      </c>
      <c r="L79" s="58" t="n">
        <v>0</v>
      </c>
      <c r="M79" s="59">
        <f>(N79-K79)*F79</f>
        <v/>
      </c>
      <c r="N79" s="56">
        <f>K79*(1+L79)</f>
        <v/>
      </c>
    </row>
    <row r="80" ht="18" customHeight="1"/>
    <row r="81" ht="18" customHeight="1">
      <c r="A81" s="60" t="inlineStr">
        <is>
          <t>Total Amount (AED).</t>
        </is>
      </c>
      <c r="B81" s="61" t="n"/>
      <c r="C81" s="61" t="n"/>
      <c r="D81" s="61" t="n"/>
      <c r="E81" s="61" t="n"/>
      <c r="F81" s="61" t="n"/>
      <c r="G81" s="61" t="n"/>
      <c r="H81" s="61" t="n"/>
      <c r="I81" s="62">
        <f>SUM(I12:I79)</f>
        <v/>
      </c>
    </row>
    <row r="82" ht="18" customHeight="1">
      <c r="A82" s="60" t="inlineStr">
        <is>
          <t>VAT 5% (AED).</t>
        </is>
      </c>
      <c r="B82" s="61" t="n"/>
      <c r="C82" s="61" t="n"/>
      <c r="D82" s="61" t="n"/>
      <c r="E82" s="61" t="n"/>
      <c r="F82" s="61" t="n"/>
      <c r="G82" s="61" t="n"/>
      <c r="H82" s="61" t="n"/>
      <c r="I82" s="62">
        <f>I81*0.05</f>
        <v/>
      </c>
    </row>
    <row r="83" ht="18" customHeight="1">
      <c r="A83" s="63" t="inlineStr">
        <is>
          <t>GRAND TOTAL AMOUNT (AED).</t>
        </is>
      </c>
      <c r="B83" s="64" t="n"/>
      <c r="C83" s="64" t="n"/>
      <c r="D83" s="64" t="n"/>
      <c r="E83" s="64" t="n"/>
      <c r="F83" s="64" t="n"/>
      <c r="G83" s="64" t="n"/>
      <c r="H83" s="64" t="n"/>
      <c r="I83" s="65">
        <f>SUM(I81:I82)</f>
        <v/>
      </c>
    </row>
    <row r="84" ht="18" customHeight="1"/>
    <row r="85" ht="18" customHeight="1">
      <c r="A85" s="66" t="inlineStr">
        <is>
          <t>TERMS:</t>
        </is>
      </c>
      <c r="B85" s="61" t="n"/>
      <c r="C85" s="61" t="n"/>
      <c r="D85" s="61" t="n"/>
      <c r="E85" s="61" t="n"/>
      <c r="F85" s="61" t="n"/>
      <c r="G85" s="61" t="n"/>
      <c r="H85" s="61" t="n"/>
      <c r="I85" s="61" t="n"/>
    </row>
    <row r="86" ht="18" customHeight="1">
      <c r="A86" s="67" t="inlineStr">
        <is>
          <t>Price:</t>
        </is>
      </c>
      <c r="B86" s="67" t="inlineStr"/>
      <c r="C86" s="61" t="n"/>
      <c r="D86" s="61" t="n"/>
      <c r="E86" s="61" t="n"/>
      <c r="F86" s="61" t="n"/>
      <c r="G86" s="61" t="n"/>
      <c r="H86" s="61" t="n"/>
      <c r="I86" s="61" t="n"/>
    </row>
    <row r="87" ht="18" customHeight="1">
      <c r="A87" s="67" t="inlineStr">
        <is>
          <t>Delivery:</t>
        </is>
      </c>
      <c r="B87" s="67" t="inlineStr">
        <is>
          <t>Stated in Description Column Against Each Item.</t>
        </is>
      </c>
      <c r="C87" s="61" t="n"/>
      <c r="D87" s="61" t="n"/>
      <c r="E87" s="61" t="n"/>
      <c r="F87" s="61" t="n"/>
      <c r="G87" s="61" t="n"/>
      <c r="H87" s="61" t="n"/>
      <c r="I87" s="61" t="n"/>
    </row>
    <row r="88" ht="18" customHeight="1">
      <c r="A88" s="67" t="inlineStr">
        <is>
          <t>Payment:</t>
        </is>
      </c>
      <c r="B88" s="67" t="inlineStr">
        <is>
          <t>30 Days Credit.</t>
        </is>
      </c>
      <c r="C88" s="61" t="n"/>
      <c r="D88" s="61" t="n"/>
      <c r="E88" s="61" t="n"/>
      <c r="F88" s="61" t="n"/>
      <c r="G88" s="61" t="n"/>
      <c r="H88" s="61" t="n"/>
      <c r="I88" s="61" t="n"/>
    </row>
    <row r="89" ht="18" customHeight="1">
      <c r="A89" s="67" t="inlineStr">
        <is>
          <t>Validity:</t>
        </is>
      </c>
      <c r="B89" s="67" t="inlineStr">
        <is>
          <t>15 days from offer date.</t>
        </is>
      </c>
      <c r="C89" s="61" t="n"/>
      <c r="D89" s="61" t="n"/>
      <c r="E89" s="61" t="n"/>
      <c r="F89" s="61" t="n"/>
      <c r="G89" s="61" t="n"/>
      <c r="H89" s="61" t="n"/>
      <c r="I89" s="61" t="n"/>
    </row>
    <row r="90" ht="18" customHeight="1"/>
    <row r="91" ht="18" customHeight="1">
      <c r="A91" t="inlineStr">
        <is>
          <t>Please revert for clarifications if any. Thank you for providing an opportunity to quote.</t>
        </is>
      </c>
    </row>
    <row r="92" ht="18" customHeight="1"/>
    <row r="93" ht="18" customHeight="1"/>
    <row r="94" ht="18" customHeight="1">
      <c r="A94" t="inlineStr">
        <is>
          <t>Best Regards,</t>
        </is>
      </c>
    </row>
    <row r="95" ht="18" customHeight="1"/>
    <row r="96" ht="18" customHeight="1"/>
    <row r="97" ht="18" customHeight="1">
      <c r="A97" s="68" t="inlineStr">
        <is>
          <t>(This message has been electronically transmitted and does not require a signature).</t>
        </is>
      </c>
    </row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A83:H83"/>
    <mergeCell ref="B3:C3"/>
    <mergeCell ref="A82:H82"/>
    <mergeCell ref="A91:J91"/>
    <mergeCell ref="E5:I5"/>
    <mergeCell ref="B2:C2"/>
    <mergeCell ref="B86:I86"/>
    <mergeCell ref="E4:I4"/>
    <mergeCell ref="A85:I85"/>
    <mergeCell ref="B88:I88"/>
    <mergeCell ref="E6:I6"/>
    <mergeCell ref="B87:I87"/>
    <mergeCell ref="E2:I2"/>
    <mergeCell ref="A9:I9"/>
    <mergeCell ref="B6:C6"/>
    <mergeCell ref="A81:H81"/>
    <mergeCell ref="B5:C5"/>
    <mergeCell ref="A1:I1"/>
    <mergeCell ref="B89:I89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2026-02-03T19:35:29Z</dcterms:modified>
</cp:coreProperties>
</file>