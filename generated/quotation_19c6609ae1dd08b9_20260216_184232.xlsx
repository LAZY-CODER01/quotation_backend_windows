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1800" windowHeight="13700" tabRatio="600" firstSheet="0" activeTab="0" autoFilterDateGrouping="1"/>
  </bookViews>
  <sheets>
    <sheet xmlns:r="http://schemas.openxmlformats.org/officeDocument/2006/relationships" name="Sheet1 (2)" sheetId="1" state="visible" r:id="rId1"/>
  </sheets>
  <definedNames>
    <definedName name="_xlnm.Print_Titles" localSheetId="0">'Sheet1 (2)'!$11:$11</definedName>
    <definedName name="_xlnm.Print_Area" localSheetId="0">'Sheet1 (2)'!$A$1:$I$34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_-* #,##0.00_-;\-* #,##0.00_-;_-* &quot;-&quot;??_-;_-@_-"/>
  </numFmts>
  <fonts count="18">
    <font>
      <name val="Calibri"/>
      <family val="2"/>
      <color theme="1"/>
      <sz val="11"/>
      <scheme val="minor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Calibri"/>
      <family val="2"/>
      <color theme="10"/>
      <sz val="11"/>
      <u val="single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b val="1"/>
      <color theme="1"/>
      <sz val="12"/>
      <scheme val="minor"/>
    </font>
    <font>
      <name val="Calibri"/>
      <family val="2"/>
      <sz val="8"/>
      <scheme val="minor"/>
    </font>
    <font>
      <name val="Arial"/>
      <family val="2"/>
      <color theme="1"/>
      <sz val="12"/>
    </font>
    <font>
      <name val="Arial"/>
      <family val="2"/>
      <b val="1"/>
      <color theme="1"/>
      <sz val="12"/>
    </font>
    <font>
      <name val="Arial"/>
      <family val="2"/>
      <color theme="1"/>
      <sz val="14"/>
    </font>
    <font>
      <name val="Calibri"/>
      <b val="1"/>
      <color rgb="00FF0000"/>
      <sz val="11"/>
    </font>
    <font>
      <name val="Calibri"/>
      <b val="1"/>
      <sz val="11"/>
    </font>
    <font>
      <name val="Calibri"/>
      <b val="1"/>
      <color rgb="00FF0000"/>
      <sz val="14"/>
    </font>
    <font>
      <name val="Calibri"/>
      <b val="1"/>
      <color rgb="00FF0000"/>
      <sz val="16"/>
    </font>
    <font>
      <name val="Calibri"/>
      <i val="1"/>
      <sz val="9"/>
    </font>
  </fonts>
  <fills count="11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FFF66"/>
      </patternFill>
    </fill>
    <fill>
      <patternFill patternType="solid">
        <fgColor rgb="00D9D9D9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</border>
    <border/>
    <border>
      <right style="thin">
        <color rgb="00000000"/>
      </right>
    </border>
    <border>
      <left style="thin">
        <color rgb="00000000"/>
      </left>
      <bottom style="thin">
        <color rgb="00000000"/>
      </bottom>
    </border>
    <border>
      <bottom style="thin">
        <color rgb="00000000"/>
      </bottom>
    </border>
    <border>
      <right style="thin">
        <color rgb="00000000"/>
      </right>
      <bottom style="thin">
        <color rgb="00000000"/>
      </bottom>
    </border>
  </borders>
  <cellStyleXfs count="826">
    <xf numFmtId="0" fontId="6" fillId="0" borderId="0"/>
    <xf numFmtId="0" fontId="3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43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0" fontId="7" fillId="0" borderId="0"/>
    <xf numFmtId="43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0" fontId="7" fillId="0" borderId="0"/>
    <xf numFmtId="0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9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</cellStyleXfs>
  <cellXfs count="77">
    <xf numFmtId="0" fontId="0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left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2" borderId="5" applyAlignment="1" pivotButton="0" quotePrefix="0" xfId="0">
      <alignment horizontal="center" vertical="center" wrapText="1"/>
    </xf>
    <xf numFmtId="0" fontId="8" fillId="2" borderId="11" applyAlignment="1" pivotButton="0" quotePrefix="0" xfId="0">
      <alignment horizontal="center" vertical="center" wrapText="1"/>
    </xf>
    <xf numFmtId="164" fontId="10" fillId="6" borderId="7" pivotButton="0" quotePrefix="0" xfId="279"/>
    <xf numFmtId="164" fontId="10" fillId="6" borderId="0" pivotButton="0" quotePrefix="0" xfId="279"/>
    <xf numFmtId="164" fontId="8" fillId="6" borderId="5" applyAlignment="1" pivotButton="0" quotePrefix="0" xfId="279">
      <alignment horizontal="center" vertical="center" wrapText="1"/>
    </xf>
    <xf numFmtId="164" fontId="8" fillId="4" borderId="12" applyAlignment="1" pivotButton="0" quotePrefix="0" xfId="279">
      <alignment horizontal="center" vertical="center" wrapText="1"/>
    </xf>
    <xf numFmtId="164" fontId="10" fillId="0" borderId="7" pivotButton="0" quotePrefix="0" xfId="279"/>
    <xf numFmtId="164" fontId="10" fillId="0" borderId="0" pivotButton="0" quotePrefix="0" xfId="279"/>
    <xf numFmtId="164" fontId="8" fillId="2" borderId="5" applyAlignment="1" pivotButton="0" quotePrefix="0" xfId="279">
      <alignment horizontal="center" vertical="center" wrapText="1"/>
    </xf>
    <xf numFmtId="164" fontId="11" fillId="0" borderId="8" pivotButton="0" quotePrefix="0" xfId="279"/>
    <xf numFmtId="164" fontId="11" fillId="0" borderId="10" pivotButton="0" quotePrefix="0" xfId="279"/>
    <xf numFmtId="164" fontId="8" fillId="0" borderId="12" applyAlignment="1" pivotButton="0" quotePrefix="0" xfId="279">
      <alignment horizontal="center" vertical="center" wrapText="1"/>
    </xf>
    <xf numFmtId="10" fontId="10" fillId="5" borderId="7" pivotButton="0" quotePrefix="0" xfId="280"/>
    <xf numFmtId="10" fontId="10" fillId="5" borderId="0" pivotButton="0" quotePrefix="0" xfId="280"/>
    <xf numFmtId="10" fontId="8" fillId="5" borderId="5" applyAlignment="1" pivotButton="0" quotePrefix="0" xfId="280">
      <alignment horizontal="center" vertical="center" wrapText="1"/>
    </xf>
    <xf numFmtId="0" fontId="1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1" fillId="0" borderId="16" applyAlignment="1" pivotButton="0" quotePrefix="0" xfId="0">
      <alignment horizontal="left" vertical="center"/>
    </xf>
    <xf numFmtId="0" fontId="2" fillId="0" borderId="17" pivotButton="0" quotePrefix="0" xfId="0"/>
    <xf numFmtId="0" fontId="0" fillId="0" borderId="16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0" fillId="0" borderId="17" pivotButton="0" quotePrefix="0" xfId="0"/>
    <xf numFmtId="0" fontId="10" fillId="0" borderId="6" applyAlignment="1" pivotButton="0" quotePrefix="0" xfId="0">
      <alignment wrapText="1"/>
    </xf>
    <xf numFmtId="0" fontId="10" fillId="0" borderId="9" applyAlignment="1" pivotButton="0" quotePrefix="0" xfId="0">
      <alignment wrapText="1"/>
    </xf>
    <xf numFmtId="0" fontId="0" fillId="0" borderId="16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0" fillId="0" borderId="17" applyAlignment="1" pivotButton="0" quotePrefix="0" xfId="0">
      <alignment horizontal="left" vertical="center"/>
    </xf>
    <xf numFmtId="0" fontId="5" fillId="0" borderId="2" applyAlignment="1" pivotButton="0" quotePrefix="0" xfId="0">
      <alignment horizontal="left" vertical="center" wrapText="1"/>
    </xf>
    <xf numFmtId="0" fontId="5" fillId="0" borderId="4" applyAlignment="1" pivotButton="0" quotePrefix="0" xfId="0">
      <alignment horizontal="left" vertical="center" wrapText="1"/>
    </xf>
    <xf numFmtId="0" fontId="4" fillId="3" borderId="13" applyAlignment="1" pivotButton="0" quotePrefix="0" xfId="0">
      <alignment horizontal="center" vertical="center"/>
    </xf>
    <xf numFmtId="0" fontId="4" fillId="3" borderId="14" applyAlignment="1" pivotButton="0" quotePrefix="0" xfId="0">
      <alignment horizontal="center" vertical="center"/>
    </xf>
    <xf numFmtId="0" fontId="4" fillId="3" borderId="15" applyAlignment="1" pivotButton="0" quotePrefix="0" xfId="0">
      <alignment horizontal="center" vertical="center"/>
    </xf>
    <xf numFmtId="0" fontId="5" fillId="0" borderId="3" applyAlignment="1" pivotButton="0" quotePrefix="0" xfId="0">
      <alignment horizontal="left" vertical="center" wrapText="1"/>
    </xf>
    <xf numFmtId="14" fontId="5" fillId="0" borderId="2" applyAlignment="1" pivotButton="0" quotePrefix="0" xfId="0">
      <alignment horizontal="left" vertical="center" wrapText="1"/>
    </xf>
    <xf numFmtId="0" fontId="5" fillId="0" borderId="2" applyAlignment="1" pivotButton="0" quotePrefix="0" xfId="1">
      <alignment horizontal="left" vertical="center" wrapText="1"/>
    </xf>
    <xf numFmtId="0" fontId="5" fillId="0" borderId="3" applyAlignment="1" pivotButton="0" quotePrefix="0" xfId="1">
      <alignment horizontal="left" vertical="center" wrapText="1"/>
    </xf>
    <xf numFmtId="0" fontId="5" fillId="0" borderId="4" applyAlignment="1" pivotButton="0" quotePrefix="0" xfId="1">
      <alignment horizontal="left" vertical="center" wrapText="1"/>
    </xf>
    <xf numFmtId="0" fontId="3" fillId="0" borderId="2" applyAlignment="1" pivotButton="0" quotePrefix="0" xfId="1">
      <alignment horizontal="left" vertical="center" wrapText="1"/>
    </xf>
    <xf numFmtId="0" fontId="4" fillId="3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5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3" pivotButton="0" quotePrefix="0" xfId="0"/>
    <xf numFmtId="14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1">
      <alignment horizontal="left" vertical="center" wrapText="1"/>
    </xf>
    <xf numFmtId="0" fontId="3" fillId="0" borderId="1" applyAlignment="1" pivotButton="0" quotePrefix="0" xfId="1">
      <alignment horizontal="left" vertical="center" wrapText="1"/>
    </xf>
    <xf numFmtId="0" fontId="0" fillId="0" borderId="18" applyAlignment="1" pivotButton="0" quotePrefix="0" xfId="0">
      <alignment horizontal="left" vertical="center"/>
    </xf>
    <xf numFmtId="0" fontId="0" fillId="0" borderId="19" applyAlignment="1" pivotButton="0" quotePrefix="0" xfId="0">
      <alignment horizontal="center" vertical="center" wrapText="1"/>
    </xf>
    <xf numFmtId="0" fontId="0" fillId="0" borderId="19" applyAlignment="1" pivotButton="0" quotePrefix="0" xfId="0">
      <alignment horizontal="left" vertical="top" wrapText="1"/>
    </xf>
    <xf numFmtId="0" fontId="13" fillId="0" borderId="19" applyAlignment="1" pivotButton="0" quotePrefix="0" xfId="0">
      <alignment horizontal="center" vertical="center" wrapText="1"/>
    </xf>
    <xf numFmtId="4" fontId="14" fillId="0" borderId="19" applyAlignment="1" pivotButton="0" quotePrefix="0" xfId="0">
      <alignment horizontal="center" vertical="center" wrapText="1"/>
    </xf>
    <xf numFmtId="0" fontId="14" fillId="0" borderId="19" applyAlignment="1" pivotButton="0" quotePrefix="0" xfId="0">
      <alignment horizontal="center" vertical="center" wrapText="1"/>
    </xf>
    <xf numFmtId="10" fontId="0" fillId="7" borderId="19" applyAlignment="1" pivotButton="0" quotePrefix="0" xfId="0">
      <alignment horizontal="center" vertical="center" wrapText="1"/>
    </xf>
    <xf numFmtId="4" fontId="14" fillId="8" borderId="19" applyAlignment="1" pivotButton="0" quotePrefix="0" xfId="0">
      <alignment horizontal="center" vertical="center" wrapText="1"/>
    </xf>
    <xf numFmtId="0" fontId="15" fillId="0" borderId="19" applyAlignment="1" pivotButton="0" quotePrefix="0" xfId="0">
      <alignment horizontal="right" vertical="center"/>
    </xf>
    <xf numFmtId="0" fontId="0" fillId="0" borderId="19" pivotButton="0" quotePrefix="0" xfId="0"/>
    <xf numFmtId="4" fontId="15" fillId="0" borderId="19" applyAlignment="1" pivotButton="0" quotePrefix="0" xfId="0">
      <alignment horizontal="center" vertical="center" wrapText="1"/>
    </xf>
    <xf numFmtId="0" fontId="16" fillId="9" borderId="19" applyAlignment="1" pivotButton="0" quotePrefix="0" xfId="0">
      <alignment horizontal="right" vertical="center"/>
    </xf>
    <xf numFmtId="0" fontId="0" fillId="9" borderId="19" pivotButton="0" quotePrefix="0" xfId="0"/>
    <xf numFmtId="4" fontId="16" fillId="9" borderId="19" applyAlignment="1" pivotButton="0" quotePrefix="0" xfId="0">
      <alignment horizontal="center" vertical="center" wrapText="1"/>
    </xf>
    <xf numFmtId="0" fontId="13" fillId="0" borderId="19" applyAlignment="1" pivotButton="0" quotePrefix="0" xfId="0">
      <alignment horizontal="left" vertical="center"/>
    </xf>
    <xf numFmtId="0" fontId="14" fillId="10" borderId="19" applyAlignment="1" pivotButton="0" quotePrefix="0" xfId="0">
      <alignment horizontal="left" vertical="center"/>
    </xf>
    <xf numFmtId="0" fontId="14" fillId="0" borderId="19" applyAlignment="1" pivotButton="0" quotePrefix="0" xfId="0">
      <alignment horizontal="left" vertical="center"/>
    </xf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0" fontId="0" fillId="0" borderId="20" applyAlignment="1" pivotButton="0" quotePrefix="0" xfId="0">
      <alignment horizontal="left" vertical="center"/>
    </xf>
    <xf numFmtId="0" fontId="14" fillId="0" borderId="20" applyAlignment="1" pivotButton="0" quotePrefix="0" xfId="0">
      <alignment horizontal="left" vertical="center"/>
    </xf>
    <xf numFmtId="0" fontId="17" fillId="0" borderId="23" applyAlignment="1" pivotButton="0" quotePrefix="0" xfId="0">
      <alignment horizontal="left" vertical="center"/>
    </xf>
    <xf numFmtId="0" fontId="0" fillId="0" borderId="24" pivotButton="0" quotePrefix="0" xfId="0"/>
    <xf numFmtId="0" fontId="0" fillId="0" borderId="25" pivotButton="0" quotePrefix="0" xfId="0"/>
  </cellXfs>
  <cellStyles count="826">
    <cellStyle name="Normal" xfId="0" builtinId="0"/>
    <cellStyle name="Hyperlink" xfId="1" builtinId="8"/>
    <cellStyle name="Comma 3" xfId="2"/>
    <cellStyle name="Comma 2" xfId="3"/>
    <cellStyle name="Comma 10" xfId="4"/>
    <cellStyle name="Comma 11" xfId="5"/>
    <cellStyle name="Comma 12" xfId="6"/>
    <cellStyle name="Comma 13" xfId="7"/>
    <cellStyle name="Comma 14" xfId="8"/>
    <cellStyle name="Comma 15" xfId="9"/>
    <cellStyle name="Comma 16" xfId="10"/>
    <cellStyle name="Comma 17" xfId="11"/>
    <cellStyle name="Comma 18" xfId="12"/>
    <cellStyle name="Comma 19" xfId="13"/>
    <cellStyle name="Comma 20" xfId="14"/>
    <cellStyle name="Comma 21" xfId="15"/>
    <cellStyle name="Comma 22" xfId="16"/>
    <cellStyle name="Comma 23" xfId="17"/>
    <cellStyle name="Comma 24" xfId="18"/>
    <cellStyle name="Comma 25" xfId="19"/>
    <cellStyle name="Comma 26" xfId="20"/>
    <cellStyle name="Comma 27" xfId="21"/>
    <cellStyle name="Comma 4" xfId="22"/>
    <cellStyle name="Comma 5" xfId="23"/>
    <cellStyle name="Comma 6" xfId="24"/>
    <cellStyle name="Comma 7" xfId="25"/>
    <cellStyle name="Comma 8" xfId="26"/>
    <cellStyle name="Comma 9" xfId="27"/>
    <cellStyle name="Comma 28" xfId="28"/>
    <cellStyle name="Normal 2" xfId="29"/>
    <cellStyle name="Comma 2 2" xfId="30"/>
    <cellStyle name="Comma 3 4" xfId="31"/>
    <cellStyle name="Comma 2 5" xfId="32"/>
    <cellStyle name="Comma 10 4" xfId="33"/>
    <cellStyle name="Comma 11 4" xfId="34"/>
    <cellStyle name="Comma 12 4" xfId="35"/>
    <cellStyle name="Comma 13 4" xfId="36"/>
    <cellStyle name="Comma 14 4" xfId="37"/>
    <cellStyle name="Comma 15 4" xfId="38"/>
    <cellStyle name="Comma 16 4" xfId="39"/>
    <cellStyle name="Comma 17 4" xfId="40"/>
    <cellStyle name="Comma 18 4" xfId="41"/>
    <cellStyle name="Comma 19 4" xfId="42"/>
    <cellStyle name="Comma 20 4" xfId="43"/>
    <cellStyle name="Comma 21 4" xfId="44"/>
    <cellStyle name="Comma 22 4" xfId="45"/>
    <cellStyle name="Comma 23 4" xfId="46"/>
    <cellStyle name="Comma 24 4" xfId="47"/>
    <cellStyle name="Comma 25 4" xfId="48"/>
    <cellStyle name="Comma 26 4" xfId="49"/>
    <cellStyle name="Comma 27 4" xfId="50"/>
    <cellStyle name="Comma 4 4" xfId="51"/>
    <cellStyle name="Comma 5 4" xfId="52"/>
    <cellStyle name="Comma 6 4" xfId="53"/>
    <cellStyle name="Comma 7 4" xfId="54"/>
    <cellStyle name="Comma 8 4" xfId="55"/>
    <cellStyle name="Comma 9 4" xfId="56"/>
    <cellStyle name="Comma 28 4" xfId="57"/>
    <cellStyle name="Comma 2 2 4" xfId="58"/>
    <cellStyle name="Comma 3 3" xfId="59"/>
    <cellStyle name="Comma 2 4" xfId="60"/>
    <cellStyle name="Comma 10 3" xfId="61"/>
    <cellStyle name="Comma 11 3" xfId="62"/>
    <cellStyle name="Comma 12 3" xfId="63"/>
    <cellStyle name="Comma 13 3" xfId="64"/>
    <cellStyle name="Comma 14 3" xfId="65"/>
    <cellStyle name="Comma 15 3" xfId="66"/>
    <cellStyle name="Comma 16 3" xfId="67"/>
    <cellStyle name="Comma 17 3" xfId="68"/>
    <cellStyle name="Comma 18 3" xfId="69"/>
    <cellStyle name="Comma 19 3" xfId="70"/>
    <cellStyle name="Comma 20 3" xfId="71"/>
    <cellStyle name="Comma 21 3" xfId="72"/>
    <cellStyle name="Comma 22 3" xfId="73"/>
    <cellStyle name="Comma 23 3" xfId="74"/>
    <cellStyle name="Comma 24 3" xfId="75"/>
    <cellStyle name="Comma 25 3" xfId="76"/>
    <cellStyle name="Comma 26 3" xfId="77"/>
    <cellStyle name="Comma 27 3" xfId="78"/>
    <cellStyle name="Comma 4 3" xfId="79"/>
    <cellStyle name="Comma 5 3" xfId="80"/>
    <cellStyle name="Comma 6 3" xfId="81"/>
    <cellStyle name="Comma 7 3" xfId="82"/>
    <cellStyle name="Comma 8 3" xfId="83"/>
    <cellStyle name="Comma 9 3" xfId="84"/>
    <cellStyle name="Comma 28 3" xfId="85"/>
    <cellStyle name="Comma 2 2 3" xfId="86"/>
    <cellStyle name="Comma 3 2" xfId="87"/>
    <cellStyle name="Comma 2 3" xfId="88"/>
    <cellStyle name="Comma 10 2" xfId="89"/>
    <cellStyle name="Comma 11 2" xfId="90"/>
    <cellStyle name="Comma 12 2" xfId="91"/>
    <cellStyle name="Comma 13 2" xfId="92"/>
    <cellStyle name="Comma 14 2" xfId="93"/>
    <cellStyle name="Comma 15 2" xfId="94"/>
    <cellStyle name="Comma 16 2" xfId="95"/>
    <cellStyle name="Comma 17 2" xfId="96"/>
    <cellStyle name="Comma 18 2" xfId="97"/>
    <cellStyle name="Comma 19 2" xfId="98"/>
    <cellStyle name="Comma 20 2" xfId="99"/>
    <cellStyle name="Comma 21 2" xfId="100"/>
    <cellStyle name="Comma 22 2" xfId="101"/>
    <cellStyle name="Comma 23 2" xfId="102"/>
    <cellStyle name="Comma 24 2" xfId="103"/>
    <cellStyle name="Comma 25 2" xfId="104"/>
    <cellStyle name="Comma 26 2" xfId="105"/>
    <cellStyle name="Comma 27 2" xfId="106"/>
    <cellStyle name="Comma 4 2" xfId="107"/>
    <cellStyle name="Comma 5 2" xfId="108"/>
    <cellStyle name="Comma 6 2" xfId="109"/>
    <cellStyle name="Comma 7 2" xfId="110"/>
    <cellStyle name="Comma 8 2" xfId="111"/>
    <cellStyle name="Comma 9 2" xfId="112"/>
    <cellStyle name="Comma 28 2" xfId="113"/>
    <cellStyle name="Comma 2 2 2" xfId="114"/>
    <cellStyle name="Comma 3 5" xfId="115"/>
    <cellStyle name="Comma 2 6" xfId="116"/>
    <cellStyle name="Comma 10 5" xfId="117"/>
    <cellStyle name="Comma 11 5" xfId="118"/>
    <cellStyle name="Comma 12 5" xfId="119"/>
    <cellStyle name="Comma 13 5" xfId="120"/>
    <cellStyle name="Comma 14 5" xfId="121"/>
    <cellStyle name="Comma 15 5" xfId="122"/>
    <cellStyle name="Comma 16 5" xfId="123"/>
    <cellStyle name="Comma 17 5" xfId="124"/>
    <cellStyle name="Comma 18 5" xfId="125"/>
    <cellStyle name="Comma 19 5" xfId="126"/>
    <cellStyle name="Comma 20 5" xfId="127"/>
    <cellStyle name="Comma 21 5" xfId="128"/>
    <cellStyle name="Comma 22 5" xfId="129"/>
    <cellStyle name="Comma 24 5" xfId="130"/>
    <cellStyle name="Comma 25 5" xfId="131"/>
    <cellStyle name="Comma 26 5" xfId="132"/>
    <cellStyle name="Comma 27 5" xfId="133"/>
    <cellStyle name="Comma 4 5" xfId="134"/>
    <cellStyle name="Comma 5 5" xfId="135"/>
    <cellStyle name="Comma 6 5" xfId="136"/>
    <cellStyle name="Comma 7 5" xfId="137"/>
    <cellStyle name="Comma 8 5" xfId="138"/>
    <cellStyle name="Comma 9 5" xfId="139"/>
    <cellStyle name="Comma 28 5" xfId="140"/>
    <cellStyle name="Normal 2 2" xfId="141"/>
    <cellStyle name="Normal 4" xfId="142"/>
    <cellStyle name="Comma 3 6" xfId="143"/>
    <cellStyle name="Comma 2 7" xfId="144"/>
    <cellStyle name="Comma 10 6" xfId="145"/>
    <cellStyle name="Comma 11 6" xfId="146"/>
    <cellStyle name="Comma 12 6" xfId="147"/>
    <cellStyle name="Comma 13 6" xfId="148"/>
    <cellStyle name="Comma 14 6" xfId="149"/>
    <cellStyle name="Comma 15 6" xfId="150"/>
    <cellStyle name="Comma 16 6" xfId="151"/>
    <cellStyle name="Comma 17 6" xfId="152"/>
    <cellStyle name="Comma 18 6" xfId="153"/>
    <cellStyle name="Comma 19 6" xfId="154"/>
    <cellStyle name="Comma 20 6" xfId="155"/>
    <cellStyle name="Comma 21 6" xfId="156"/>
    <cellStyle name="Comma 22 6" xfId="157"/>
    <cellStyle name="Comma 24 6" xfId="158"/>
    <cellStyle name="Comma 25 6" xfId="159"/>
    <cellStyle name="Comma 26 6" xfId="160"/>
    <cellStyle name="Comma 27 6" xfId="161"/>
    <cellStyle name="Comma 4 6" xfId="162"/>
    <cellStyle name="Comma 5 6" xfId="163"/>
    <cellStyle name="Comma 6 6" xfId="164"/>
    <cellStyle name="Comma 7 6" xfId="165"/>
    <cellStyle name="Comma 8 6" xfId="166"/>
    <cellStyle name="Comma 9 6" xfId="167"/>
    <cellStyle name="Comma 28 6" xfId="168"/>
    <cellStyle name="Comma 3 4 2" xfId="169"/>
    <cellStyle name="Comma 2 5 2" xfId="170"/>
    <cellStyle name="Comma 10 4 2" xfId="171"/>
    <cellStyle name="Comma 11 4 2" xfId="172"/>
    <cellStyle name="Comma 12 4 2" xfId="173"/>
    <cellStyle name="Comma 13 4 2" xfId="174"/>
    <cellStyle name="Comma 14 4 2" xfId="175"/>
    <cellStyle name="Comma 15 4 2" xfId="176"/>
    <cellStyle name="Comma 16 4 2" xfId="177"/>
    <cellStyle name="Comma 17 4 2" xfId="178"/>
    <cellStyle name="Comma 18 4 2" xfId="179"/>
    <cellStyle name="Comma 19 4 2" xfId="180"/>
    <cellStyle name="Comma 20 4 2" xfId="181"/>
    <cellStyle name="Comma 21 4 2" xfId="182"/>
    <cellStyle name="Comma 22 4 2" xfId="183"/>
    <cellStyle name="Comma 23 4 2" xfId="184"/>
    <cellStyle name="Comma 24 4 2" xfId="185"/>
    <cellStyle name="Comma 25 4 2" xfId="186"/>
    <cellStyle name="Comma 26 4 2" xfId="187"/>
    <cellStyle name="Comma 27 4 2" xfId="188"/>
    <cellStyle name="Comma 4 4 2" xfId="189"/>
    <cellStyle name="Comma 5 4 2" xfId="190"/>
    <cellStyle name="Comma 6 4 2" xfId="191"/>
    <cellStyle name="Comma 7 4 2" xfId="192"/>
    <cellStyle name="Comma 8 4 2" xfId="193"/>
    <cellStyle name="Comma 9 4 2" xfId="194"/>
    <cellStyle name="Comma 28 4 2" xfId="195"/>
    <cellStyle name="Comma 2 2 4 2" xfId="196"/>
    <cellStyle name="Comma 3 3 2" xfId="197"/>
    <cellStyle name="Comma 2 4 2" xfId="198"/>
    <cellStyle name="Comma 10 3 2" xfId="199"/>
    <cellStyle name="Comma 11 3 2" xfId="200"/>
    <cellStyle name="Comma 12 3 2" xfId="201"/>
    <cellStyle name="Comma 13 3 2" xfId="202"/>
    <cellStyle name="Comma 14 3 2" xfId="203"/>
    <cellStyle name="Comma 15 3 2" xfId="204"/>
    <cellStyle name="Comma 16 3 2" xfId="205"/>
    <cellStyle name="Comma 17 3 2" xfId="206"/>
    <cellStyle name="Comma 18 3 2" xfId="207"/>
    <cellStyle name="Comma 19 3 2" xfId="208"/>
    <cellStyle name="Comma 20 3 2" xfId="209"/>
    <cellStyle name="Comma 21 3 2" xfId="210"/>
    <cellStyle name="Comma 22 3 2" xfId="211"/>
    <cellStyle name="Comma 23 3 2" xfId="212"/>
    <cellStyle name="Comma 24 3 2" xfId="213"/>
    <cellStyle name="Comma 25 3 2" xfId="214"/>
    <cellStyle name="Comma 26 3 2" xfId="215"/>
    <cellStyle name="Comma 27 3 2" xfId="216"/>
    <cellStyle name="Comma 4 3 2" xfId="217"/>
    <cellStyle name="Comma 5 3 2" xfId="218"/>
    <cellStyle name="Comma 6 3 2" xfId="219"/>
    <cellStyle name="Comma 7 3 2" xfId="220"/>
    <cellStyle name="Comma 8 3 2" xfId="221"/>
    <cellStyle name="Comma 9 3 2" xfId="222"/>
    <cellStyle name="Comma 28 3 2" xfId="223"/>
    <cellStyle name="Comma 2 2 3 2" xfId="224"/>
    <cellStyle name="Comma 3 2 2" xfId="225"/>
    <cellStyle name="Comma 2 3 2" xfId="226"/>
    <cellStyle name="Comma 10 2 2" xfId="227"/>
    <cellStyle name="Comma 11 2 2" xfId="228"/>
    <cellStyle name="Comma 12 2 2" xfId="229"/>
    <cellStyle name="Comma 13 2 2" xfId="230"/>
    <cellStyle name="Comma 14 2 2" xfId="231"/>
    <cellStyle name="Comma 15 2 2" xfId="232"/>
    <cellStyle name="Comma 16 2 2" xfId="233"/>
    <cellStyle name="Comma 17 2 2" xfId="234"/>
    <cellStyle name="Comma 18 2 2" xfId="235"/>
    <cellStyle name="Comma 19 2 2" xfId="236"/>
    <cellStyle name="Comma 20 2 2" xfId="237"/>
    <cellStyle name="Comma 21 2 2" xfId="238"/>
    <cellStyle name="Comma 22 2 2" xfId="239"/>
    <cellStyle name="Comma 23 2 2" xfId="240"/>
    <cellStyle name="Comma 24 2 2" xfId="241"/>
    <cellStyle name="Comma 25 2 2" xfId="242"/>
    <cellStyle name="Comma 26 2 2" xfId="243"/>
    <cellStyle name="Comma 27 2 2" xfId="244"/>
    <cellStyle name="Comma 4 2 2" xfId="245"/>
    <cellStyle name="Comma 5 2 2" xfId="246"/>
    <cellStyle name="Comma 6 2 2" xfId="247"/>
    <cellStyle name="Comma 7 2 2" xfId="248"/>
    <cellStyle name="Comma 8 2 2" xfId="249"/>
    <cellStyle name="Comma 9 2 2" xfId="250"/>
    <cellStyle name="Comma 28 2 2" xfId="251"/>
    <cellStyle name="Comma 2 2 2 2" xfId="252"/>
    <cellStyle name="Comma 3 5 2" xfId="253"/>
    <cellStyle name="Comma 2 6 2" xfId="254"/>
    <cellStyle name="Comma 10 5 2" xfId="255"/>
    <cellStyle name="Comma 11 5 2" xfId="256"/>
    <cellStyle name="Comma 12 5 2" xfId="257"/>
    <cellStyle name="Comma 13 5 2" xfId="258"/>
    <cellStyle name="Comma 14 5 2" xfId="259"/>
    <cellStyle name="Comma 15 5 2" xfId="260"/>
    <cellStyle name="Comma 16 5 2" xfId="261"/>
    <cellStyle name="Comma 17 5 2" xfId="262"/>
    <cellStyle name="Comma 18 5 2" xfId="263"/>
    <cellStyle name="Comma 19 5 2" xfId="264"/>
    <cellStyle name="Comma 20 5 2" xfId="265"/>
    <cellStyle name="Comma 21 5 2" xfId="266"/>
    <cellStyle name="Comma 22 5 2" xfId="267"/>
    <cellStyle name="Comma 24 5 2" xfId="268"/>
    <cellStyle name="Comma 25 5 2" xfId="269"/>
    <cellStyle name="Comma 26 5 2" xfId="270"/>
    <cellStyle name="Comma 27 5 2" xfId="271"/>
    <cellStyle name="Comma 4 5 2" xfId="272"/>
    <cellStyle name="Comma 5 5 2" xfId="273"/>
    <cellStyle name="Comma 6 5 2" xfId="274"/>
    <cellStyle name="Comma 7 5 2" xfId="275"/>
    <cellStyle name="Comma 8 5 2" xfId="276"/>
    <cellStyle name="Comma 9 5 2" xfId="277"/>
    <cellStyle name="Comma 28 5 2" xfId="278"/>
    <cellStyle name="Comma" xfId="279" builtinId="3"/>
    <cellStyle name="Per cent" xfId="280" builtinId="5"/>
    <cellStyle name="Comma 3 8" xfId="281"/>
    <cellStyle name="Comma 2 9" xfId="282"/>
    <cellStyle name="Comma 10 8" xfId="283"/>
    <cellStyle name="Comma 11 8" xfId="284"/>
    <cellStyle name="Comma 12 8" xfId="285"/>
    <cellStyle name="Comma 13 8" xfId="286"/>
    <cellStyle name="Comma 14 8" xfId="287"/>
    <cellStyle name="Comma 15 8" xfId="288"/>
    <cellStyle name="Comma 16 8" xfId="289"/>
    <cellStyle name="Comma 17 8" xfId="290"/>
    <cellStyle name="Comma 18 8" xfId="291"/>
    <cellStyle name="Comma 19 8" xfId="292"/>
    <cellStyle name="Comma 20 8" xfId="293"/>
    <cellStyle name="Comma 21 8" xfId="294"/>
    <cellStyle name="Comma 22 8" xfId="295"/>
    <cellStyle name="Comma 24 8" xfId="296"/>
    <cellStyle name="Comma 25 8" xfId="297"/>
    <cellStyle name="Comma 26 8" xfId="298"/>
    <cellStyle name="Comma 27 8" xfId="299"/>
    <cellStyle name="Comma 4 8" xfId="300"/>
    <cellStyle name="Comma 5 8" xfId="301"/>
    <cellStyle name="Comma 6 8" xfId="302"/>
    <cellStyle name="Comma 7 8" xfId="303"/>
    <cellStyle name="Comma 8 8" xfId="304"/>
    <cellStyle name="Comma 9 8" xfId="305"/>
    <cellStyle name="Comma 28 8" xfId="306"/>
    <cellStyle name="Comma 3 4 4" xfId="307"/>
    <cellStyle name="Comma 2 5 4" xfId="308"/>
    <cellStyle name="Comma 10 4 4" xfId="309"/>
    <cellStyle name="Comma 11 4 4" xfId="310"/>
    <cellStyle name="Comma 12 4 4" xfId="311"/>
    <cellStyle name="Comma 13 4 4" xfId="312"/>
    <cellStyle name="Comma 14 4 4" xfId="313"/>
    <cellStyle name="Comma 15 4 4" xfId="314"/>
    <cellStyle name="Comma 16 4 4" xfId="315"/>
    <cellStyle name="Comma 17 4 4" xfId="316"/>
    <cellStyle name="Comma 18 4 4" xfId="317"/>
    <cellStyle name="Comma 19 4 4" xfId="318"/>
    <cellStyle name="Comma 20 4 4" xfId="319"/>
    <cellStyle name="Comma 21 4 4" xfId="320"/>
    <cellStyle name="Comma 22 4 4" xfId="321"/>
    <cellStyle name="Comma 23 4 4" xfId="322"/>
    <cellStyle name="Comma 24 4 4" xfId="323"/>
    <cellStyle name="Comma 25 4 4" xfId="324"/>
    <cellStyle name="Comma 26 4 4" xfId="325"/>
    <cellStyle name="Comma 27 4 4" xfId="326"/>
    <cellStyle name="Comma 4 4 4" xfId="327"/>
    <cellStyle name="Comma 5 4 4" xfId="328"/>
    <cellStyle name="Comma 6 4 4" xfId="329"/>
    <cellStyle name="Comma 7 4 4" xfId="330"/>
    <cellStyle name="Comma 8 4 4" xfId="331"/>
    <cellStyle name="Comma 9 4 4" xfId="332"/>
    <cellStyle name="Comma 28 4 4" xfId="333"/>
    <cellStyle name="Comma 2 2 4 4" xfId="334"/>
    <cellStyle name="Comma 3 3 4" xfId="335"/>
    <cellStyle name="Comma 2 4 4" xfId="336"/>
    <cellStyle name="Comma 10 3 4" xfId="337"/>
    <cellStyle name="Comma 11 3 4" xfId="338"/>
    <cellStyle name="Comma 12 3 4" xfId="339"/>
    <cellStyle name="Comma 13 3 4" xfId="340"/>
    <cellStyle name="Comma 14 3 4" xfId="341"/>
    <cellStyle name="Comma 15 3 4" xfId="342"/>
    <cellStyle name="Comma 16 3 4" xfId="343"/>
    <cellStyle name="Comma 17 3 4" xfId="344"/>
    <cellStyle name="Comma 18 3 4" xfId="345"/>
    <cellStyle name="Comma 19 3 4" xfId="346"/>
    <cellStyle name="Comma 20 3 4" xfId="347"/>
    <cellStyle name="Comma 21 3 4" xfId="348"/>
    <cellStyle name="Comma 22 3 4" xfId="349"/>
    <cellStyle name="Comma 23 3 4" xfId="350"/>
    <cellStyle name="Comma 24 3 4" xfId="351"/>
    <cellStyle name="Comma 25 3 4" xfId="352"/>
    <cellStyle name="Comma 26 3 4" xfId="353"/>
    <cellStyle name="Comma 27 3 4" xfId="354"/>
    <cellStyle name="Comma 4 3 4" xfId="355"/>
    <cellStyle name="Comma 5 3 4" xfId="356"/>
    <cellStyle name="Comma 6 3 4" xfId="357"/>
    <cellStyle name="Comma 7 3 4" xfId="358"/>
    <cellStyle name="Comma 8 3 4" xfId="359"/>
    <cellStyle name="Comma 9 3 4" xfId="360"/>
    <cellStyle name="Comma 28 3 4" xfId="361"/>
    <cellStyle name="Comma 2 2 3 4" xfId="362"/>
    <cellStyle name="Comma 3 2 4" xfId="363"/>
    <cellStyle name="Comma 2 3 4" xfId="364"/>
    <cellStyle name="Comma 10 2 4" xfId="365"/>
    <cellStyle name="Comma 11 2 4" xfId="366"/>
    <cellStyle name="Comma 12 2 4" xfId="367"/>
    <cellStyle name="Comma 13 2 4" xfId="368"/>
    <cellStyle name="Comma 14 2 4" xfId="369"/>
    <cellStyle name="Comma 15 2 4" xfId="370"/>
    <cellStyle name="Comma 16 2 4" xfId="371"/>
    <cellStyle name="Comma 17 2 4" xfId="372"/>
    <cellStyle name="Comma 18 2 4" xfId="373"/>
    <cellStyle name="Comma 19 2 4" xfId="374"/>
    <cellStyle name="Comma 20 2 4" xfId="375"/>
    <cellStyle name="Comma 21 2 4" xfId="376"/>
    <cellStyle name="Comma 22 2 4" xfId="377"/>
    <cellStyle name="Comma 23 2 4" xfId="378"/>
    <cellStyle name="Comma 24 2 4" xfId="379"/>
    <cellStyle name="Comma 25 2 4" xfId="380"/>
    <cellStyle name="Comma 26 2 4" xfId="381"/>
    <cellStyle name="Comma 27 2 4" xfId="382"/>
    <cellStyle name="Comma 4 2 4" xfId="383"/>
    <cellStyle name="Comma 5 2 4" xfId="384"/>
    <cellStyle name="Comma 6 2 4" xfId="385"/>
    <cellStyle name="Comma 7 2 4" xfId="386"/>
    <cellStyle name="Comma 8 2 4" xfId="387"/>
    <cellStyle name="Comma 9 2 4" xfId="388"/>
    <cellStyle name="Comma 28 2 4" xfId="389"/>
    <cellStyle name="Comma 2 2 2 4" xfId="390"/>
    <cellStyle name="Comma 3 5 4" xfId="391"/>
    <cellStyle name="Comma 2 6 4" xfId="392"/>
    <cellStyle name="Comma 10 5 4" xfId="393"/>
    <cellStyle name="Comma 11 5 4" xfId="394"/>
    <cellStyle name="Comma 12 5 4" xfId="395"/>
    <cellStyle name="Comma 13 5 4" xfId="396"/>
    <cellStyle name="Comma 14 5 4" xfId="397"/>
    <cellStyle name="Comma 15 5 4" xfId="398"/>
    <cellStyle name="Comma 16 5 4" xfId="399"/>
    <cellStyle name="Comma 17 5 4" xfId="400"/>
    <cellStyle name="Comma 18 5 4" xfId="401"/>
    <cellStyle name="Comma 19 5 4" xfId="402"/>
    <cellStyle name="Comma 20 5 4" xfId="403"/>
    <cellStyle name="Comma 21 5 4" xfId="404"/>
    <cellStyle name="Comma 22 5 4" xfId="405"/>
    <cellStyle name="Comma 24 5 4" xfId="406"/>
    <cellStyle name="Comma 25 5 4" xfId="407"/>
    <cellStyle name="Comma 26 5 4" xfId="408"/>
    <cellStyle name="Comma 27 5 4" xfId="409"/>
    <cellStyle name="Comma 4 5 4" xfId="410"/>
    <cellStyle name="Comma 5 5 4" xfId="411"/>
    <cellStyle name="Comma 6 5 4" xfId="412"/>
    <cellStyle name="Comma 7 5 4" xfId="413"/>
    <cellStyle name="Comma 8 5 4" xfId="414"/>
    <cellStyle name="Comma 9 5 4" xfId="415"/>
    <cellStyle name="Comma 28 5 4" xfId="416"/>
    <cellStyle name="Comma 3 6 3" xfId="417"/>
    <cellStyle name="Comma 2 7 3" xfId="418"/>
    <cellStyle name="Comma 10 6 3" xfId="419"/>
    <cellStyle name="Comma 11 6 3" xfId="420"/>
    <cellStyle name="Comma 12 6 3" xfId="421"/>
    <cellStyle name="Comma 13 6 3" xfId="422"/>
    <cellStyle name="Comma 14 6 3" xfId="423"/>
    <cellStyle name="Comma 15 6 3" xfId="424"/>
    <cellStyle name="Comma 16 6 3" xfId="425"/>
    <cellStyle name="Comma 17 6 3" xfId="426"/>
    <cellStyle name="Comma 18 6 3" xfId="427"/>
    <cellStyle name="Comma 19 6 3" xfId="428"/>
    <cellStyle name="Comma 20 6 3" xfId="429"/>
    <cellStyle name="Comma 21 6 3" xfId="430"/>
    <cellStyle name="Comma 22 6 3" xfId="431"/>
    <cellStyle name="Comma 24 6 3" xfId="432"/>
    <cellStyle name="Comma 25 6 3" xfId="433"/>
    <cellStyle name="Comma 26 6 3" xfId="434"/>
    <cellStyle name="Comma 27 6 3" xfId="435"/>
    <cellStyle name="Comma 4 6 3" xfId="436"/>
    <cellStyle name="Comma 5 6 3" xfId="437"/>
    <cellStyle name="Comma 6 6 3" xfId="438"/>
    <cellStyle name="Comma 7 6 3" xfId="439"/>
    <cellStyle name="Comma 8 6 3" xfId="440"/>
    <cellStyle name="Comma 9 6 3" xfId="441"/>
    <cellStyle name="Comma 28 6 3" xfId="442"/>
    <cellStyle name="Comma 3 4 2 3" xfId="443"/>
    <cellStyle name="Comma 2 5 2 3" xfId="444"/>
    <cellStyle name="Comma 10 4 2 3" xfId="445"/>
    <cellStyle name="Comma 11 4 2 3" xfId="446"/>
    <cellStyle name="Comma 12 4 2 3" xfId="447"/>
    <cellStyle name="Comma 13 4 2 3" xfId="448"/>
    <cellStyle name="Comma 14 4 2 3" xfId="449"/>
    <cellStyle name="Comma 15 4 2 3" xfId="450"/>
    <cellStyle name="Comma 16 4 2 3" xfId="451"/>
    <cellStyle name="Comma 17 4 2 3" xfId="452"/>
    <cellStyle name="Comma 18 4 2 3" xfId="453"/>
    <cellStyle name="Comma 19 4 2 3" xfId="454"/>
    <cellStyle name="Comma 20 4 2 3" xfId="455"/>
    <cellStyle name="Comma 21 4 2 3" xfId="456"/>
    <cellStyle name="Comma 22 4 2 3" xfId="457"/>
    <cellStyle name="Comma 23 4 2 3" xfId="458"/>
    <cellStyle name="Comma 24 4 2 3" xfId="459"/>
    <cellStyle name="Comma 25 4 2 3" xfId="460"/>
    <cellStyle name="Comma 26 4 2 3" xfId="461"/>
    <cellStyle name="Comma 27 4 2 3" xfId="462"/>
    <cellStyle name="Comma 4 4 2 3" xfId="463"/>
    <cellStyle name="Comma 5 4 2 3" xfId="464"/>
    <cellStyle name="Comma 6 4 2 3" xfId="465"/>
    <cellStyle name="Comma 7 4 2 3" xfId="466"/>
    <cellStyle name="Comma 8 4 2 3" xfId="467"/>
    <cellStyle name="Comma 9 4 2 3" xfId="468"/>
    <cellStyle name="Comma 28 4 2 3" xfId="469"/>
    <cellStyle name="Comma 2 2 4 2 3" xfId="470"/>
    <cellStyle name="Comma 3 3 2 3" xfId="471"/>
    <cellStyle name="Comma 2 4 2 3" xfId="472"/>
    <cellStyle name="Comma 10 3 2 3" xfId="473"/>
    <cellStyle name="Comma 11 3 2 3" xfId="474"/>
    <cellStyle name="Comma 12 3 2 3" xfId="475"/>
    <cellStyle name="Comma 13 3 2 3" xfId="476"/>
    <cellStyle name="Comma 14 3 2 3" xfId="477"/>
    <cellStyle name="Comma 15 3 2 3" xfId="478"/>
    <cellStyle name="Comma 16 3 2 3" xfId="479"/>
    <cellStyle name="Comma 17 3 2 3" xfId="480"/>
    <cellStyle name="Comma 18 3 2 3" xfId="481"/>
    <cellStyle name="Comma 19 3 2 3" xfId="482"/>
    <cellStyle name="Comma 20 3 2 3" xfId="483"/>
    <cellStyle name="Comma 21 3 2 3" xfId="484"/>
    <cellStyle name="Comma 22 3 2 3" xfId="485"/>
    <cellStyle name="Comma 23 3 2 3" xfId="486"/>
    <cellStyle name="Comma 24 3 2 3" xfId="487"/>
    <cellStyle name="Comma 25 3 2 3" xfId="488"/>
    <cellStyle name="Comma 26 3 2 3" xfId="489"/>
    <cellStyle name="Comma 27 3 2 3" xfId="490"/>
    <cellStyle name="Comma 4 3 2 3" xfId="491"/>
    <cellStyle name="Comma 5 3 2 3" xfId="492"/>
    <cellStyle name="Comma 6 3 2 3" xfId="493"/>
    <cellStyle name="Comma 7 3 2 3" xfId="494"/>
    <cellStyle name="Comma 8 3 2 3" xfId="495"/>
    <cellStyle name="Comma 9 3 2 3" xfId="496"/>
    <cellStyle name="Comma 28 3 2 3" xfId="497"/>
    <cellStyle name="Comma 2 2 3 2 3" xfId="498"/>
    <cellStyle name="Comma 3 2 2 3" xfId="499"/>
    <cellStyle name="Comma 2 3 2 3" xfId="500"/>
    <cellStyle name="Comma 10 2 2 3" xfId="501"/>
    <cellStyle name="Comma 11 2 2 3" xfId="502"/>
    <cellStyle name="Comma 12 2 2 3" xfId="503"/>
    <cellStyle name="Comma 13 2 2 3" xfId="504"/>
    <cellStyle name="Comma 14 2 2 3" xfId="505"/>
    <cellStyle name="Comma 15 2 2 3" xfId="506"/>
    <cellStyle name="Comma 16 2 2 3" xfId="507"/>
    <cellStyle name="Comma 17 2 2 3" xfId="508"/>
    <cellStyle name="Comma 18 2 2 3" xfId="509"/>
    <cellStyle name="Comma 19 2 2 3" xfId="510"/>
    <cellStyle name="Comma 20 2 2 3" xfId="511"/>
    <cellStyle name="Comma 21 2 2 3" xfId="512"/>
    <cellStyle name="Comma 22 2 2 3" xfId="513"/>
    <cellStyle name="Comma 23 2 2 3" xfId="514"/>
    <cellStyle name="Comma 24 2 2 3" xfId="515"/>
    <cellStyle name="Comma 25 2 2 3" xfId="516"/>
    <cellStyle name="Comma 26 2 2 3" xfId="517"/>
    <cellStyle name="Comma 27 2 2 3" xfId="518"/>
    <cellStyle name="Comma 4 2 2 3" xfId="519"/>
    <cellStyle name="Comma 5 2 2 3" xfId="520"/>
    <cellStyle name="Comma 6 2 2 3" xfId="521"/>
    <cellStyle name="Comma 7 2 2 3" xfId="522"/>
    <cellStyle name="Comma 8 2 2 3" xfId="523"/>
    <cellStyle name="Comma 9 2 2 3" xfId="524"/>
    <cellStyle name="Comma 28 2 2 3" xfId="525"/>
    <cellStyle name="Comma 2 2 2 2 3" xfId="526"/>
    <cellStyle name="Comma 3 5 2 3" xfId="527"/>
    <cellStyle name="Comma 2 6 2 3" xfId="528"/>
    <cellStyle name="Comma 10 5 2 3" xfId="529"/>
    <cellStyle name="Comma 11 5 2 3" xfId="530"/>
    <cellStyle name="Comma 12 5 2 3" xfId="531"/>
    <cellStyle name="Comma 13 5 2 3" xfId="532"/>
    <cellStyle name="Comma 14 5 2 3" xfId="533"/>
    <cellStyle name="Comma 15 5 2 3" xfId="534"/>
    <cellStyle name="Comma 16 5 2 3" xfId="535"/>
    <cellStyle name="Comma 17 5 2 3" xfId="536"/>
    <cellStyle name="Comma 18 5 2 3" xfId="537"/>
    <cellStyle name="Comma 19 5 2 3" xfId="538"/>
    <cellStyle name="Comma 20 5 2 3" xfId="539"/>
    <cellStyle name="Comma 21 5 2 3" xfId="540"/>
    <cellStyle name="Comma 22 5 2 3" xfId="541"/>
    <cellStyle name="Comma 24 5 2 3" xfId="542"/>
    <cellStyle name="Comma 25 5 2 3" xfId="543"/>
    <cellStyle name="Comma 26 5 2 3" xfId="544"/>
    <cellStyle name="Comma 27 5 2 3" xfId="545"/>
    <cellStyle name="Comma 4 5 2 3" xfId="546"/>
    <cellStyle name="Comma 5 5 2 3" xfId="547"/>
    <cellStyle name="Comma 6 5 2 3" xfId="548"/>
    <cellStyle name="Comma 7 5 2 3" xfId="549"/>
    <cellStyle name="Comma 8 5 2 3" xfId="550"/>
    <cellStyle name="Comma 9 5 2 3" xfId="551"/>
    <cellStyle name="Comma 28 5 2 3" xfId="552"/>
    <cellStyle name="Comma 29" xfId="553"/>
    <cellStyle name="Comma 3 7" xfId="554"/>
    <cellStyle name="Comma 2 8" xfId="555"/>
    <cellStyle name="Comma 10 7" xfId="556"/>
    <cellStyle name="Comma 11 7" xfId="557"/>
    <cellStyle name="Comma 12 7" xfId="558"/>
    <cellStyle name="Comma 13 7" xfId="559"/>
    <cellStyle name="Comma 14 7" xfId="560"/>
    <cellStyle name="Comma 15 7" xfId="561"/>
    <cellStyle name="Comma 16 7" xfId="562"/>
    <cellStyle name="Comma 17 7" xfId="563"/>
    <cellStyle name="Comma 18 7" xfId="564"/>
    <cellStyle name="Comma 19 7" xfId="565"/>
    <cellStyle name="Comma 20 7" xfId="566"/>
    <cellStyle name="Comma 21 7" xfId="567"/>
    <cellStyle name="Comma 22 7" xfId="568"/>
    <cellStyle name="Comma 24 7" xfId="569"/>
    <cellStyle name="Comma 25 7" xfId="570"/>
    <cellStyle name="Comma 26 7" xfId="571"/>
    <cellStyle name="Comma 27 7" xfId="572"/>
    <cellStyle name="Comma 4 7" xfId="573"/>
    <cellStyle name="Comma 5 7" xfId="574"/>
    <cellStyle name="Comma 6 7" xfId="575"/>
    <cellStyle name="Comma 7 7" xfId="576"/>
    <cellStyle name="Comma 8 7" xfId="577"/>
    <cellStyle name="Comma 9 7" xfId="578"/>
    <cellStyle name="Comma 28 7" xfId="579"/>
    <cellStyle name="Comma 3 4 3" xfId="580"/>
    <cellStyle name="Comma 2 5 3" xfId="581"/>
    <cellStyle name="Comma 10 4 3" xfId="582"/>
    <cellStyle name="Comma 11 4 3" xfId="583"/>
    <cellStyle name="Comma 12 4 3" xfId="584"/>
    <cellStyle name="Comma 13 4 3" xfId="585"/>
    <cellStyle name="Comma 14 4 3" xfId="586"/>
    <cellStyle name="Comma 15 4 3" xfId="587"/>
    <cellStyle name="Comma 16 4 3" xfId="588"/>
    <cellStyle name="Comma 17 4 3" xfId="589"/>
    <cellStyle name="Comma 18 4 3" xfId="590"/>
    <cellStyle name="Comma 19 4 3" xfId="591"/>
    <cellStyle name="Comma 20 4 3" xfId="592"/>
    <cellStyle name="Comma 21 4 3" xfId="593"/>
    <cellStyle name="Comma 22 4 3" xfId="594"/>
    <cellStyle name="Comma 23 4 3" xfId="595"/>
    <cellStyle name="Comma 24 4 3" xfId="596"/>
    <cellStyle name="Comma 25 4 3" xfId="597"/>
    <cellStyle name="Comma 26 4 3" xfId="598"/>
    <cellStyle name="Comma 27 4 3" xfId="599"/>
    <cellStyle name="Comma 4 4 3" xfId="600"/>
    <cellStyle name="Comma 5 4 3" xfId="601"/>
    <cellStyle name="Comma 6 4 3" xfId="602"/>
    <cellStyle name="Comma 7 4 3" xfId="603"/>
    <cellStyle name="Comma 8 4 3" xfId="604"/>
    <cellStyle name="Comma 9 4 3" xfId="605"/>
    <cellStyle name="Comma 28 4 3" xfId="606"/>
    <cellStyle name="Comma 2 2 4 3" xfId="607"/>
    <cellStyle name="Comma 3 3 3" xfId="608"/>
    <cellStyle name="Comma 2 4 3" xfId="609"/>
    <cellStyle name="Comma 10 3 3" xfId="610"/>
    <cellStyle name="Comma 11 3 3" xfId="611"/>
    <cellStyle name="Comma 12 3 3" xfId="612"/>
    <cellStyle name="Comma 13 3 3" xfId="613"/>
    <cellStyle name="Comma 14 3 3" xfId="614"/>
    <cellStyle name="Comma 15 3 3" xfId="615"/>
    <cellStyle name="Comma 16 3 3" xfId="616"/>
    <cellStyle name="Comma 17 3 3" xfId="617"/>
    <cellStyle name="Comma 18 3 3" xfId="618"/>
    <cellStyle name="Comma 19 3 3" xfId="619"/>
    <cellStyle name="Comma 20 3 3" xfId="620"/>
    <cellStyle name="Comma 21 3 3" xfId="621"/>
    <cellStyle name="Comma 22 3 3" xfId="622"/>
    <cellStyle name="Comma 23 3 3" xfId="623"/>
    <cellStyle name="Comma 24 3 3" xfId="624"/>
    <cellStyle name="Comma 25 3 3" xfId="625"/>
    <cellStyle name="Comma 26 3 3" xfId="626"/>
    <cellStyle name="Comma 27 3 3" xfId="627"/>
    <cellStyle name="Comma 4 3 3" xfId="628"/>
    <cellStyle name="Comma 5 3 3" xfId="629"/>
    <cellStyle name="Comma 6 3 3" xfId="630"/>
    <cellStyle name="Comma 7 3 3" xfId="631"/>
    <cellStyle name="Comma 8 3 3" xfId="632"/>
    <cellStyle name="Comma 9 3 3" xfId="633"/>
    <cellStyle name="Comma 28 3 3" xfId="634"/>
    <cellStyle name="Comma 2 2 3 3" xfId="635"/>
    <cellStyle name="Comma 3 2 3" xfId="636"/>
    <cellStyle name="Comma 2 3 3" xfId="637"/>
    <cellStyle name="Comma 10 2 3" xfId="638"/>
    <cellStyle name="Comma 11 2 3" xfId="639"/>
    <cellStyle name="Comma 12 2 3" xfId="640"/>
    <cellStyle name="Comma 13 2 3" xfId="641"/>
    <cellStyle name="Comma 14 2 3" xfId="642"/>
    <cellStyle name="Comma 15 2 3" xfId="643"/>
    <cellStyle name="Comma 16 2 3" xfId="644"/>
    <cellStyle name="Comma 17 2 3" xfId="645"/>
    <cellStyle name="Comma 18 2 3" xfId="646"/>
    <cellStyle name="Comma 19 2 3" xfId="647"/>
    <cellStyle name="Comma 20 2 3" xfId="648"/>
    <cellStyle name="Comma 21 2 3" xfId="649"/>
    <cellStyle name="Comma 22 2 3" xfId="650"/>
    <cellStyle name="Comma 23 2 3" xfId="651"/>
    <cellStyle name="Comma 24 2 3" xfId="652"/>
    <cellStyle name="Comma 25 2 3" xfId="653"/>
    <cellStyle name="Comma 26 2 3" xfId="654"/>
    <cellStyle name="Comma 27 2 3" xfId="655"/>
    <cellStyle name="Comma 4 2 3" xfId="656"/>
    <cellStyle name="Comma 5 2 3" xfId="657"/>
    <cellStyle name="Comma 6 2 3" xfId="658"/>
    <cellStyle name="Comma 7 2 3" xfId="659"/>
    <cellStyle name="Comma 8 2 3" xfId="660"/>
    <cellStyle name="Comma 9 2 3" xfId="661"/>
    <cellStyle name="Comma 28 2 3" xfId="662"/>
    <cellStyle name="Comma 2 2 2 3" xfId="663"/>
    <cellStyle name="Comma 3 5 3" xfId="664"/>
    <cellStyle name="Comma 2 6 3" xfId="665"/>
    <cellStyle name="Comma 10 5 3" xfId="666"/>
    <cellStyle name="Comma 11 5 3" xfId="667"/>
    <cellStyle name="Comma 12 5 3" xfId="668"/>
    <cellStyle name="Comma 13 5 3" xfId="669"/>
    <cellStyle name="Comma 14 5 3" xfId="670"/>
    <cellStyle name="Comma 15 5 3" xfId="671"/>
    <cellStyle name="Comma 16 5 3" xfId="672"/>
    <cellStyle name="Comma 17 5 3" xfId="673"/>
    <cellStyle name="Comma 18 5 3" xfId="674"/>
    <cellStyle name="Comma 19 5 3" xfId="675"/>
    <cellStyle name="Comma 20 5 3" xfId="676"/>
    <cellStyle name="Comma 21 5 3" xfId="677"/>
    <cellStyle name="Comma 22 5 3" xfId="678"/>
    <cellStyle name="Comma 24 5 3" xfId="679"/>
    <cellStyle name="Comma 25 5 3" xfId="680"/>
    <cellStyle name="Comma 26 5 3" xfId="681"/>
    <cellStyle name="Comma 27 5 3" xfId="682"/>
    <cellStyle name="Comma 4 5 3" xfId="683"/>
    <cellStyle name="Comma 5 5 3" xfId="684"/>
    <cellStyle name="Comma 6 5 3" xfId="685"/>
    <cellStyle name="Comma 7 5 3" xfId="686"/>
    <cellStyle name="Comma 8 5 3" xfId="687"/>
    <cellStyle name="Comma 9 5 3" xfId="688"/>
    <cellStyle name="Comma 28 5 3" xfId="689"/>
    <cellStyle name="Comma 3 6 2" xfId="690"/>
    <cellStyle name="Comma 2 7 2" xfId="691"/>
    <cellStyle name="Comma 10 6 2" xfId="692"/>
    <cellStyle name="Comma 11 6 2" xfId="693"/>
    <cellStyle name="Comma 12 6 2" xfId="694"/>
    <cellStyle name="Comma 13 6 2" xfId="695"/>
    <cellStyle name="Comma 14 6 2" xfId="696"/>
    <cellStyle name="Comma 15 6 2" xfId="697"/>
    <cellStyle name="Comma 16 6 2" xfId="698"/>
    <cellStyle name="Comma 17 6 2" xfId="699"/>
    <cellStyle name="Comma 18 6 2" xfId="700"/>
    <cellStyle name="Comma 19 6 2" xfId="701"/>
    <cellStyle name="Comma 20 6 2" xfId="702"/>
    <cellStyle name="Comma 21 6 2" xfId="703"/>
    <cellStyle name="Comma 22 6 2" xfId="704"/>
    <cellStyle name="Comma 24 6 2" xfId="705"/>
    <cellStyle name="Comma 25 6 2" xfId="706"/>
    <cellStyle name="Comma 26 6 2" xfId="707"/>
    <cellStyle name="Comma 27 6 2" xfId="708"/>
    <cellStyle name="Comma 4 6 2" xfId="709"/>
    <cellStyle name="Comma 5 6 2" xfId="710"/>
    <cellStyle name="Comma 6 6 2" xfId="711"/>
    <cellStyle name="Comma 7 6 2" xfId="712"/>
    <cellStyle name="Comma 8 6 2" xfId="713"/>
    <cellStyle name="Comma 9 6 2" xfId="714"/>
    <cellStyle name="Comma 28 6 2" xfId="715"/>
    <cellStyle name="Comma 3 4 2 2" xfId="716"/>
    <cellStyle name="Comma 2 5 2 2" xfId="717"/>
    <cellStyle name="Comma 10 4 2 2" xfId="718"/>
    <cellStyle name="Comma 11 4 2 2" xfId="719"/>
    <cellStyle name="Comma 12 4 2 2" xfId="720"/>
    <cellStyle name="Comma 13 4 2 2" xfId="721"/>
    <cellStyle name="Comma 14 4 2 2" xfId="722"/>
    <cellStyle name="Comma 15 4 2 2" xfId="723"/>
    <cellStyle name="Comma 16 4 2 2" xfId="724"/>
    <cellStyle name="Comma 17 4 2 2" xfId="725"/>
    <cellStyle name="Comma 18 4 2 2" xfId="726"/>
    <cellStyle name="Comma 19 4 2 2" xfId="727"/>
    <cellStyle name="Comma 20 4 2 2" xfId="728"/>
    <cellStyle name="Comma 21 4 2 2" xfId="729"/>
    <cellStyle name="Comma 22 4 2 2" xfId="730"/>
    <cellStyle name="Comma 23 4 2 2" xfId="731"/>
    <cellStyle name="Comma 24 4 2 2" xfId="732"/>
    <cellStyle name="Comma 25 4 2 2" xfId="733"/>
    <cellStyle name="Comma 26 4 2 2" xfId="734"/>
    <cellStyle name="Comma 27 4 2 2" xfId="735"/>
    <cellStyle name="Comma 4 4 2 2" xfId="736"/>
    <cellStyle name="Comma 5 4 2 2" xfId="737"/>
    <cellStyle name="Comma 6 4 2 2" xfId="738"/>
    <cellStyle name="Comma 7 4 2 2" xfId="739"/>
    <cellStyle name="Comma 8 4 2 2" xfId="740"/>
    <cellStyle name="Comma 9 4 2 2" xfId="741"/>
    <cellStyle name="Comma 28 4 2 2" xfId="742"/>
    <cellStyle name="Comma 2 2 4 2 2" xfId="743"/>
    <cellStyle name="Comma 3 3 2 2" xfId="744"/>
    <cellStyle name="Comma 2 4 2 2" xfId="745"/>
    <cellStyle name="Comma 10 3 2 2" xfId="746"/>
    <cellStyle name="Comma 11 3 2 2" xfId="747"/>
    <cellStyle name="Comma 12 3 2 2" xfId="748"/>
    <cellStyle name="Comma 13 3 2 2" xfId="749"/>
    <cellStyle name="Comma 14 3 2 2" xfId="750"/>
    <cellStyle name="Comma 15 3 2 2" xfId="751"/>
    <cellStyle name="Comma 16 3 2 2" xfId="752"/>
    <cellStyle name="Comma 17 3 2 2" xfId="753"/>
    <cellStyle name="Comma 18 3 2 2" xfId="754"/>
    <cellStyle name="Comma 19 3 2 2" xfId="755"/>
    <cellStyle name="Comma 20 3 2 2" xfId="756"/>
    <cellStyle name="Comma 21 3 2 2" xfId="757"/>
    <cellStyle name="Comma 22 3 2 2" xfId="758"/>
    <cellStyle name="Comma 23 3 2 2" xfId="759"/>
    <cellStyle name="Comma 24 3 2 2" xfId="760"/>
    <cellStyle name="Comma 25 3 2 2" xfId="761"/>
    <cellStyle name="Comma 26 3 2 2" xfId="762"/>
    <cellStyle name="Comma 27 3 2 2" xfId="763"/>
    <cellStyle name="Comma 4 3 2 2" xfId="764"/>
    <cellStyle name="Comma 5 3 2 2" xfId="765"/>
    <cellStyle name="Comma 6 3 2 2" xfId="766"/>
    <cellStyle name="Comma 7 3 2 2" xfId="767"/>
    <cellStyle name="Comma 8 3 2 2" xfId="768"/>
    <cellStyle name="Comma 9 3 2 2" xfId="769"/>
    <cellStyle name="Comma 28 3 2 2" xfId="770"/>
    <cellStyle name="Comma 2 2 3 2 2" xfId="771"/>
    <cellStyle name="Comma 3 2 2 2" xfId="772"/>
    <cellStyle name="Comma 2 3 2 2" xfId="773"/>
    <cellStyle name="Comma 10 2 2 2" xfId="774"/>
    <cellStyle name="Comma 11 2 2 2" xfId="775"/>
    <cellStyle name="Comma 12 2 2 2" xfId="776"/>
    <cellStyle name="Comma 13 2 2 2" xfId="777"/>
    <cellStyle name="Comma 14 2 2 2" xfId="778"/>
    <cellStyle name="Comma 15 2 2 2" xfId="779"/>
    <cellStyle name="Comma 16 2 2 2" xfId="780"/>
    <cellStyle name="Comma 17 2 2 2" xfId="781"/>
    <cellStyle name="Comma 18 2 2 2" xfId="782"/>
    <cellStyle name="Comma 19 2 2 2" xfId="783"/>
    <cellStyle name="Comma 20 2 2 2" xfId="784"/>
    <cellStyle name="Comma 21 2 2 2" xfId="785"/>
    <cellStyle name="Comma 22 2 2 2" xfId="786"/>
    <cellStyle name="Comma 23 2 2 2" xfId="787"/>
    <cellStyle name="Comma 24 2 2 2" xfId="788"/>
    <cellStyle name="Comma 25 2 2 2" xfId="789"/>
    <cellStyle name="Comma 26 2 2 2" xfId="790"/>
    <cellStyle name="Comma 27 2 2 2" xfId="791"/>
    <cellStyle name="Comma 4 2 2 2" xfId="792"/>
    <cellStyle name="Comma 5 2 2 2" xfId="793"/>
    <cellStyle name="Comma 6 2 2 2" xfId="794"/>
    <cellStyle name="Comma 7 2 2 2" xfId="795"/>
    <cellStyle name="Comma 8 2 2 2" xfId="796"/>
    <cellStyle name="Comma 9 2 2 2" xfId="797"/>
    <cellStyle name="Comma 28 2 2 2" xfId="798"/>
    <cellStyle name="Comma 2 2 2 2 2" xfId="799"/>
    <cellStyle name="Comma 3 5 2 2" xfId="800"/>
    <cellStyle name="Comma 2 6 2 2" xfId="801"/>
    <cellStyle name="Comma 10 5 2 2" xfId="802"/>
    <cellStyle name="Comma 11 5 2 2" xfId="803"/>
    <cellStyle name="Comma 12 5 2 2" xfId="804"/>
    <cellStyle name="Comma 13 5 2 2" xfId="805"/>
    <cellStyle name="Comma 14 5 2 2" xfId="806"/>
    <cellStyle name="Comma 15 5 2 2" xfId="807"/>
    <cellStyle name="Comma 16 5 2 2" xfId="808"/>
    <cellStyle name="Comma 17 5 2 2" xfId="809"/>
    <cellStyle name="Comma 18 5 2 2" xfId="810"/>
    <cellStyle name="Comma 19 5 2 2" xfId="811"/>
    <cellStyle name="Comma 20 5 2 2" xfId="812"/>
    <cellStyle name="Comma 21 5 2 2" xfId="813"/>
    <cellStyle name="Comma 22 5 2 2" xfId="814"/>
    <cellStyle name="Comma 24 5 2 2" xfId="815"/>
    <cellStyle name="Comma 25 5 2 2" xfId="816"/>
    <cellStyle name="Comma 26 5 2 2" xfId="817"/>
    <cellStyle name="Comma 27 5 2 2" xfId="818"/>
    <cellStyle name="Comma 4 5 2 2" xfId="819"/>
    <cellStyle name="Comma 5 5 2 2" xfId="820"/>
    <cellStyle name="Comma 6 5 2 2" xfId="821"/>
    <cellStyle name="Comma 7 5 2 2" xfId="822"/>
    <cellStyle name="Comma 8 5 2 2" xfId="823"/>
    <cellStyle name="Comma 9 5 2 2" xfId="824"/>
    <cellStyle name="Comma 28 5 2 2" xfId="82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11</row>
      <rowOff>0</rowOff>
    </from>
    <ext cx="1714500" cy="1714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</row>
      <rowOff>0</rowOff>
    </from>
    <ext cx="1714500" cy="1714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32"/>
  <sheetViews>
    <sheetView tabSelected="1" view="pageBreakPreview" topLeftCell="A4" zoomScale="85" zoomScaleNormal="100" zoomScaleSheetLayoutView="85" workbookViewId="0">
      <selection activeCell="D21" sqref="D21"/>
    </sheetView>
  </sheetViews>
  <sheetFormatPr baseColWidth="10" defaultColWidth="9.1640625" defaultRowHeight="18"/>
  <cols>
    <col width="11.33203125" customWidth="1" style="2" min="1" max="1"/>
    <col width="50.6640625" customWidth="1" style="1" min="2" max="2"/>
    <col width="21.33203125" customWidth="1" style="1" min="3" max="3"/>
    <col width="25" customWidth="1" style="1" min="4" max="4"/>
    <col width="20.6640625" customWidth="1" style="1" min="5" max="5"/>
    <col width="10" customWidth="1" style="21" min="6" max="6"/>
    <col width="10.5" customWidth="1" style="21" min="7" max="7"/>
    <col width="13.1640625" customWidth="1" style="1" min="8" max="9"/>
    <col width="9.1640625" customWidth="1" style="28" min="10" max="10"/>
    <col width="10.5" bestFit="1" customWidth="1" style="12" min="11" max="11"/>
    <col width="9.1640625" customWidth="1" style="18" min="12" max="12"/>
    <col width="9.5" customWidth="1" style="8" min="13" max="13"/>
    <col width="11.5" bestFit="1" customWidth="1" style="15" min="14" max="14"/>
    <col width="9.1640625" customWidth="1" style="1" min="15" max="15"/>
    <col width="9.1640625" customWidth="1" style="20" min="16" max="16"/>
    <col width="9.1640625" customWidth="1" style="1" min="17" max="16384"/>
  </cols>
  <sheetData>
    <row r="1" ht="21" customHeight="1">
      <c r="A1" s="43" t="inlineStr">
        <is>
          <t>QUOTATION</t>
        </is>
      </c>
      <c r="B1" s="44" t="n"/>
      <c r="C1" s="44" t="n"/>
      <c r="D1" s="44" t="n"/>
      <c r="E1" s="44" t="n"/>
      <c r="F1" s="44" t="n"/>
      <c r="G1" s="44" t="n"/>
      <c r="H1" s="44" t="n"/>
      <c r="I1" s="45" t="n"/>
      <c r="J1" s="27" t="n"/>
      <c r="K1" s="11" t="n"/>
      <c r="L1" s="17" t="n"/>
      <c r="M1" s="7" t="n"/>
      <c r="N1" s="14" t="n"/>
    </row>
    <row r="2" ht="20" customHeight="1">
      <c r="A2" s="3" t="inlineStr">
        <is>
          <t>To:</t>
        </is>
      </c>
      <c r="B2" s="46" t="n"/>
      <c r="C2" s="47" t="n"/>
      <c r="D2" s="3" t="inlineStr">
        <is>
          <t>Quotation Ref:</t>
        </is>
      </c>
      <c r="E2" s="46" t="inlineStr">
        <is>
          <t>DBQ-25</t>
        </is>
      </c>
      <c r="F2" s="48" t="n"/>
      <c r="G2" s="48" t="n"/>
      <c r="H2" s="48" t="n"/>
      <c r="I2" s="47" t="n"/>
    </row>
    <row r="3" ht="24" customHeight="1">
      <c r="A3" s="3" t="inlineStr">
        <is>
          <t>Attn:</t>
        </is>
      </c>
      <c r="B3" s="46" t="n"/>
      <c r="C3" s="47" t="n"/>
      <c r="D3" s="3" t="inlineStr">
        <is>
          <t>Quotation Date:</t>
        </is>
      </c>
      <c r="E3" s="49" t="n"/>
      <c r="F3" s="48" t="n"/>
      <c r="G3" s="48" t="n"/>
      <c r="H3" s="48" t="n"/>
      <c r="I3" s="47" t="n"/>
    </row>
    <row r="4" ht="19.5" customHeight="1">
      <c r="A4" s="4" t="inlineStr">
        <is>
          <t xml:space="preserve">Mobile: </t>
        </is>
      </c>
      <c r="B4" s="46" t="n"/>
      <c r="C4" s="47" t="n"/>
      <c r="D4" s="4" t="inlineStr">
        <is>
          <t>Subject:</t>
        </is>
      </c>
      <c r="E4" s="50" t="inlineStr">
        <is>
          <t xml:space="preserve">Offer for </t>
        </is>
      </c>
      <c r="F4" s="48" t="n"/>
      <c r="G4" s="48" t="n"/>
      <c r="H4" s="48" t="n"/>
      <c r="I4" s="47" t="n"/>
    </row>
    <row r="5" ht="20" customHeight="1">
      <c r="A5" s="3" t="inlineStr">
        <is>
          <t>Email:</t>
        </is>
      </c>
      <c r="B5" s="51" t="n"/>
      <c r="C5" s="47" t="n"/>
      <c r="D5" s="3" t="inlineStr">
        <is>
          <t>Your Ref:</t>
        </is>
      </c>
      <c r="E5" s="46" t="n"/>
      <c r="F5" s="48" t="n"/>
      <c r="G5" s="48" t="n"/>
      <c r="H5" s="48" t="n"/>
      <c r="I5" s="47" t="n"/>
    </row>
    <row r="6" ht="20" customHeight="1">
      <c r="A6" s="3" t="inlineStr">
        <is>
          <t>From:</t>
        </is>
      </c>
      <c r="B6" s="46" t="inlineStr">
        <is>
          <t>Mr. Husain Abdul Kadir/ +971 54 337 3553</t>
        </is>
      </c>
      <c r="C6" s="47" t="n"/>
      <c r="D6" s="3" t="inlineStr">
        <is>
          <t>Dated:</t>
        </is>
      </c>
      <c r="E6" s="49" t="n"/>
      <c r="F6" s="48" t="n"/>
      <c r="G6" s="48" t="n"/>
      <c r="H6" s="48" t="n"/>
      <c r="I6" s="47" t="n"/>
    </row>
    <row r="7" ht="8.25" customHeight="1">
      <c r="A7" s="22" t="n"/>
      <c r="I7" s="23" t="n"/>
    </row>
    <row r="8">
      <c r="A8" s="24" t="inlineStr">
        <is>
          <t>Good Day ,</t>
        </is>
      </c>
      <c r="F8" s="25" t="n"/>
      <c r="G8" s="25" t="n"/>
      <c r="I8" s="26" t="n"/>
    </row>
    <row r="9">
      <c r="A9" s="52" t="inlineStr">
        <is>
          <t>Thank you for your enquiry, we are pleased to offer the following in line with your requirement.</t>
        </is>
      </c>
      <c r="I9" s="26" t="n"/>
    </row>
    <row r="10" ht="10.5" customHeight="1">
      <c r="A10" s="22" t="n"/>
      <c r="I10" s="23" t="n"/>
    </row>
    <row r="11" ht="42" customHeight="1">
      <c r="A11" s="5" t="inlineStr">
        <is>
          <t>SL. No.</t>
        </is>
      </c>
      <c r="B11" s="5" t="inlineStr">
        <is>
          <t>Description</t>
        </is>
      </c>
      <c r="C11" s="5" t="inlineStr">
        <is>
          <t>Brand &amp; Model</t>
        </is>
      </c>
      <c r="D11" s="5" t="inlineStr">
        <is>
          <t>Image</t>
        </is>
      </c>
      <c r="E11" s="5" t="inlineStr">
        <is>
          <t>Delivery Lead Time</t>
        </is>
      </c>
      <c r="F11" s="5" t="inlineStr">
        <is>
          <t>Qty</t>
        </is>
      </c>
      <c r="G11" s="5" t="inlineStr">
        <is>
          <t>Unit</t>
        </is>
      </c>
      <c r="H11" s="5" t="inlineStr">
        <is>
          <t>Unit Price (AED)</t>
        </is>
      </c>
      <c r="I11" s="5" t="inlineStr">
        <is>
          <t>Total Price (AED)</t>
        </is>
      </c>
      <c r="J11" s="6" t="n"/>
      <c r="K11" s="13" t="inlineStr">
        <is>
          <t>CP</t>
        </is>
      </c>
      <c r="L11" s="19" t="inlineStr">
        <is>
          <t>%</t>
        </is>
      </c>
      <c r="M11" s="9" t="inlineStr">
        <is>
          <t>Profit in AED</t>
        </is>
      </c>
      <c r="N11" s="16" t="inlineStr">
        <is>
          <t>SP</t>
        </is>
      </c>
      <c r="O11" s="10" t="n"/>
    </row>
    <row r="12" ht="140" customHeight="1">
      <c r="A12" s="53" t="n">
        <v>1</v>
      </c>
      <c r="B12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PLANT &amp; MACHINERY HOIST ELECTRIC 500 KGS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>MANUAL TROLLEY (HAND PALLET 3 TON)</t>
          </r>
        </is>
      </c>
      <c r="C12" s="53" t="inlineStr">
        <is>
          <t>BRAND :- TOMAX</t>
        </is>
      </c>
      <c r="D12" s="53" t="n"/>
      <c r="E12" s="55" t="inlineStr">
        <is>
          <t>Ex stock, subject to prior sales.</t>
        </is>
      </c>
      <c r="F12" s="56" t="n">
        <v>5</v>
      </c>
      <c r="G12" s="57" t="inlineStr">
        <is>
          <t>NOS</t>
        </is>
      </c>
      <c r="H12" s="56" t="n">
        <v>720</v>
      </c>
      <c r="I12" s="56">
        <f>F12*H12</f>
        <v/>
      </c>
      <c r="J12" s="53" t="n"/>
      <c r="K12" s="56" t="n">
        <v>0</v>
      </c>
      <c r="L12" s="58" t="n">
        <v>0</v>
      </c>
      <c r="M12" s="59">
        <f>(N12-K12)*F12</f>
        <v/>
      </c>
      <c r="N12" s="56">
        <f>K12*(1+L12)</f>
        <v/>
      </c>
    </row>
    <row r="13" ht="140" customHeight="1">
      <c r="A13" s="53" t="n">
        <v>2</v>
      </c>
      <c r="B13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TOOLS &amp; EQUIPMENTS BAND SAW 760 MM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>MANUAL PULL-DOWN BAND SAWING MACHINE</t>
          </r>
        </is>
      </c>
      <c r="C13" s="53" t="inlineStr">
        <is>
          <t>BRAND :- SHARK
MODEL :- 281 CCS MA</t>
        </is>
      </c>
      <c r="D13" s="53" t="n"/>
      <c r="E13" s="55" t="inlineStr">
        <is>
          <t>Ex stock, subject to prior sales.</t>
        </is>
      </c>
      <c r="F13" s="56" t="n">
        <v>2</v>
      </c>
      <c r="G13" s="57" t="inlineStr">
        <is>
          <t>NOS</t>
        </is>
      </c>
      <c r="H13" s="56" t="n">
        <v>28750</v>
      </c>
      <c r="I13" s="56">
        <f>F13*H13</f>
        <v/>
      </c>
      <c r="J13" s="53" t="n"/>
      <c r="K13" s="56" t="n">
        <v>0</v>
      </c>
      <c r="L13" s="58" t="n">
        <v>0</v>
      </c>
      <c r="M13" s="59">
        <f>(N13-K13)*F13</f>
        <v/>
      </c>
      <c r="N13" s="56">
        <f>K13*(1+L13)</f>
        <v/>
      </c>
    </row>
    <row r="14" ht="140" customHeight="1">
      <c r="A14" s="53" t="n">
        <v>3</v>
      </c>
      <c r="B14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TOOLS &amp; EQUIPMENTS TRIPOD VEE ALL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14" s="53" t="inlineStr">
        <is>
          <t>Tool Trolleys (170-6)</t>
        </is>
      </c>
      <c r="D14" s="53" t="n"/>
      <c r="E14" s="55" t="inlineStr">
        <is>
          <t>Ex stock, subject to prior sales.</t>
        </is>
      </c>
      <c r="F14" s="56" t="n">
        <v>1</v>
      </c>
      <c r="G14" s="57" t="inlineStr">
        <is>
          <t>NOS</t>
        </is>
      </c>
      <c r="H14" s="56" t="n">
        <v>1487.5</v>
      </c>
      <c r="I14" s="56">
        <f>F14*H14</f>
        <v/>
      </c>
      <c r="J14" s="53" t="n"/>
      <c r="K14" s="56" t="n">
        <v>0</v>
      </c>
      <c r="L14" s="58" t="n">
        <v>0</v>
      </c>
      <c r="M14" s="59">
        <f>(N14-K14)*F14</f>
        <v/>
      </c>
      <c r="N14" s="56">
        <f>K14*(1+L14)</f>
        <v/>
      </c>
    </row>
    <row r="15" ht="140" customHeight="1">
      <c r="A15" s="53" t="n">
        <v>4</v>
      </c>
      <c r="B15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TOOLS &amp; EQUIPMENTS BUTT FUSION WELDING MACHINE HDPE - 63MM - 250MM 220V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15" s="53" t="inlineStr">
        <is>
          <t>PVC pipe heater (Hydraulic butt fusion machine )</t>
        </is>
      </c>
      <c r="D15" s="53" t="n"/>
      <c r="E15" s="55" t="inlineStr">
        <is>
          <t>Ex stock, subject to prior sales.</t>
        </is>
      </c>
      <c r="F15" s="56" t="n">
        <v>1</v>
      </c>
      <c r="G15" s="57" t="inlineStr">
        <is>
          <t>NOS</t>
        </is>
      </c>
      <c r="H15" s="56" t="n">
        <v>17500</v>
      </c>
      <c r="I15" s="56">
        <f>F15*H15</f>
        <v/>
      </c>
      <c r="J15" s="53" t="n"/>
      <c r="K15" s="56" t="n">
        <v>0</v>
      </c>
      <c r="L15" s="58" t="n">
        <v>0</v>
      </c>
      <c r="M15" s="59">
        <f>(N15-K15)*F15</f>
        <v/>
      </c>
      <c r="N15" s="56">
        <f>K15*(1+L15)</f>
        <v/>
      </c>
    </row>
    <row r="16" ht="20" customHeight="1">
      <c r="A16" s="60" t="inlineStr">
        <is>
          <t>Total Amount (AED).</t>
        </is>
      </c>
      <c r="B16" s="61" t="n"/>
      <c r="C16" s="61" t="n"/>
      <c r="D16" s="61" t="n"/>
      <c r="E16" s="61" t="n"/>
      <c r="F16" s="61" t="n"/>
      <c r="G16" s="61" t="n"/>
      <c r="H16" s="61" t="n"/>
      <c r="I16" s="62">
        <f>SUM(I12:I15)</f>
        <v/>
      </c>
    </row>
    <row r="17" ht="20" customHeight="1">
      <c r="A17" s="60" t="inlineStr">
        <is>
          <t>VAT 5% (AED).</t>
        </is>
      </c>
      <c r="B17" s="61" t="n"/>
      <c r="C17" s="61" t="n"/>
      <c r="D17" s="61" t="n"/>
      <c r="E17" s="61" t="n"/>
      <c r="F17" s="61" t="n"/>
      <c r="G17" s="61" t="n"/>
      <c r="H17" s="61" t="n"/>
      <c r="I17" s="62">
        <f>I16*0.05</f>
        <v/>
      </c>
    </row>
    <row r="18" ht="25" customHeight="1">
      <c r="A18" s="63" t="inlineStr">
        <is>
          <t>GRAND TOTAL AMOUNT (AED).</t>
        </is>
      </c>
      <c r="B18" s="64" t="n"/>
      <c r="C18" s="64" t="n"/>
      <c r="D18" s="64" t="n"/>
      <c r="E18" s="64" t="n"/>
      <c r="F18" s="64" t="n"/>
      <c r="G18" s="64" t="n"/>
      <c r="H18" s="64" t="n"/>
      <c r="I18" s="65">
        <f>SUM(I16:I17)</f>
        <v/>
      </c>
    </row>
    <row r="19">
      <c r="A19" s="66" t="inlineStr">
        <is>
          <t>NOTE :- STOCK AVAILBILITY AS PER THE QUOTATION DATE KINDLY CONFIRM AT THE TIME OF CONFIRMATION.</t>
        </is>
      </c>
      <c r="B19" s="61" t="n"/>
      <c r="C19" s="61" t="n"/>
      <c r="D19" s="61" t="n"/>
      <c r="E19" s="61" t="n"/>
      <c r="F19" s="61" t="n"/>
      <c r="G19" s="61" t="n"/>
      <c r="H19" s="61" t="n"/>
      <c r="I19" s="61" t="n"/>
    </row>
    <row r="20">
      <c r="A20" s="67" t="inlineStr">
        <is>
          <t>TERMS:</t>
        </is>
      </c>
      <c r="B20" s="61" t="n"/>
      <c r="C20" s="61" t="n"/>
      <c r="D20" s="61" t="n"/>
      <c r="E20" s="61" t="n"/>
      <c r="F20" s="61" t="n"/>
      <c r="G20" s="61" t="n"/>
      <c r="H20" s="61" t="n"/>
      <c r="I20" s="61" t="n"/>
    </row>
    <row r="21">
      <c r="A21" s="68" t="inlineStr">
        <is>
          <t>Price:</t>
        </is>
      </c>
      <c r="B21" s="68" t="inlineStr">
        <is>
          <t>Ex Warehouse Dubai, Packed.</t>
        </is>
      </c>
      <c r="C21" s="61" t="n"/>
      <c r="D21" s="61" t="n"/>
      <c r="E21" s="61" t="n"/>
      <c r="F21" s="61" t="n"/>
      <c r="G21" s="61" t="n"/>
      <c r="H21" s="61" t="n"/>
      <c r="I21" s="61" t="n"/>
    </row>
    <row r="22">
      <c r="A22" s="68" t="inlineStr">
        <is>
          <t>Delivery:</t>
        </is>
      </c>
      <c r="B22" s="68" t="inlineStr">
        <is>
          <t>Stated in Description Column Against Each Item.</t>
        </is>
      </c>
      <c r="C22" s="61" t="n"/>
      <c r="D22" s="61" t="n"/>
      <c r="E22" s="61" t="n"/>
      <c r="F22" s="61" t="n"/>
      <c r="G22" s="61" t="n"/>
      <c r="H22" s="61" t="n"/>
      <c r="I22" s="61" t="n"/>
    </row>
    <row r="23">
      <c r="A23" s="68" t="inlineStr">
        <is>
          <t>Payment:</t>
        </is>
      </c>
      <c r="B23" s="68" t="inlineStr">
        <is>
          <t>30 Days Credit.</t>
        </is>
      </c>
      <c r="C23" s="61" t="n"/>
      <c r="D23" s="61" t="n"/>
      <c r="E23" s="61" t="n"/>
      <c r="F23" s="61" t="n"/>
      <c r="G23" s="61" t="n"/>
      <c r="H23" s="61" t="n"/>
      <c r="I23" s="61" t="n"/>
    </row>
    <row r="24">
      <c r="A24" s="68" t="inlineStr">
        <is>
          <t>Validity:</t>
        </is>
      </c>
      <c r="B24" s="68" t="inlineStr">
        <is>
          <t>15 days from offer date.</t>
        </is>
      </c>
      <c r="C24" s="61" t="n"/>
      <c r="D24" s="61" t="n"/>
      <c r="E24" s="61" t="n"/>
      <c r="F24" s="61" t="n"/>
      <c r="G24" s="61" t="n"/>
      <c r="H24" s="61" t="n"/>
      <c r="I24" s="61" t="n"/>
    </row>
    <row r="25">
      <c r="A25" s="69" t="n"/>
      <c r="B25" s="70" t="n"/>
      <c r="C25" s="70" t="n"/>
      <c r="D25" s="70" t="n"/>
      <c r="E25" s="70" t="n"/>
      <c r="F25" s="70" t="n"/>
      <c r="G25" s="70" t="n"/>
      <c r="H25" s="70" t="n"/>
      <c r="I25" s="71" t="n"/>
    </row>
    <row r="26">
      <c r="A26" s="72" t="inlineStr">
        <is>
          <t>Please revert for clarifications if any. Thank you for providing an opportunity to quote.</t>
        </is>
      </c>
      <c r="B26" s="70" t="n"/>
      <c r="C26" s="70" t="n"/>
      <c r="D26" s="70" t="n"/>
      <c r="E26" s="70" t="n"/>
      <c r="F26" s="70" t="n"/>
      <c r="G26" s="70" t="n"/>
      <c r="H26" s="70" t="n"/>
      <c r="I26" s="71" t="n"/>
    </row>
    <row r="27">
      <c r="A27" s="69" t="n"/>
      <c r="B27" s="70" t="n"/>
      <c r="C27" s="70" t="n"/>
      <c r="D27" s="70" t="n"/>
      <c r="E27" s="70" t="n"/>
      <c r="F27" s="70" t="n"/>
      <c r="G27" s="70" t="n"/>
      <c r="H27" s="70" t="n"/>
      <c r="I27" s="71" t="n"/>
    </row>
    <row r="28">
      <c r="A28" s="72" t="inlineStr">
        <is>
          <t>Best Regards,</t>
        </is>
      </c>
      <c r="B28" s="70" t="n"/>
      <c r="C28" s="70" t="n"/>
      <c r="D28" s="70" t="n"/>
      <c r="E28" s="70" t="n"/>
      <c r="F28" s="70" t="n"/>
      <c r="G28" s="70" t="n"/>
      <c r="H28" s="70" t="n"/>
      <c r="I28" s="71" t="n"/>
    </row>
    <row r="29">
      <c r="A29" s="73" t="inlineStr">
        <is>
          <t>Dbest Building Hardware and Tools Trading LLC.</t>
        </is>
      </c>
      <c r="B29" s="70" t="n"/>
      <c r="C29" s="70" t="n"/>
      <c r="D29" s="70" t="n"/>
      <c r="E29" s="70" t="n"/>
      <c r="F29" s="70" t="n"/>
      <c r="G29" s="70" t="n"/>
      <c r="H29" s="70" t="n"/>
      <c r="I29" s="71" t="n"/>
    </row>
    <row r="30">
      <c r="A30" s="69" t="n"/>
      <c r="B30" s="70" t="n"/>
      <c r="C30" s="70" t="n"/>
      <c r="D30" s="70" t="n"/>
      <c r="E30" s="70" t="n"/>
      <c r="F30" s="70" t="n"/>
      <c r="G30" s="70" t="n"/>
      <c r="H30" s="70" t="n"/>
      <c r="I30" s="71" t="n"/>
    </row>
    <row r="31">
      <c r="A31" s="69" t="n"/>
      <c r="B31" s="70" t="n"/>
      <c r="C31" s="70" t="n"/>
      <c r="D31" s="70" t="n"/>
      <c r="E31" s="70" t="n"/>
      <c r="F31" s="70" t="n"/>
      <c r="G31" s="70" t="n"/>
      <c r="H31" s="70" t="n"/>
      <c r="I31" s="71" t="n"/>
    </row>
    <row r="32">
      <c r="A32" s="74" t="inlineStr">
        <is>
          <t>(This message has been electronically transmitted and does not require a signature).</t>
        </is>
      </c>
      <c r="B32" s="75" t="n"/>
      <c r="C32" s="75" t="n"/>
      <c r="D32" s="75" t="n"/>
      <c r="E32" s="75" t="n"/>
      <c r="F32" s="75" t="n"/>
      <c r="G32" s="75" t="n"/>
      <c r="H32" s="75" t="n"/>
      <c r="I32" s="76" t="n"/>
    </row>
  </sheetData>
  <mergeCells count="29">
    <mergeCell ref="E3:I3"/>
    <mergeCell ref="A25:I25"/>
    <mergeCell ref="B3:C3"/>
    <mergeCell ref="B22:I22"/>
    <mergeCell ref="A27:I27"/>
    <mergeCell ref="E5:I5"/>
    <mergeCell ref="A26:I26"/>
    <mergeCell ref="B2:C2"/>
    <mergeCell ref="B21:I21"/>
    <mergeCell ref="E4:I4"/>
    <mergeCell ref="A32:I32"/>
    <mergeCell ref="A16:H16"/>
    <mergeCell ref="B23:I23"/>
    <mergeCell ref="A20:I20"/>
    <mergeCell ref="A18:H18"/>
    <mergeCell ref="A29:I29"/>
    <mergeCell ref="A19:I19"/>
    <mergeCell ref="E6:I6"/>
    <mergeCell ref="A28:I28"/>
    <mergeCell ref="E2:I2"/>
    <mergeCell ref="A9:I9"/>
    <mergeCell ref="A31:I31"/>
    <mergeCell ref="A30:I30"/>
    <mergeCell ref="A17:H17"/>
    <mergeCell ref="B6:C6"/>
    <mergeCell ref="B5:C5"/>
    <mergeCell ref="B24:I24"/>
    <mergeCell ref="A1:I1"/>
    <mergeCell ref="B4:C4"/>
  </mergeCells>
  <printOptions horizontalCentered="1"/>
  <pageMargins left="0" right="0" top="0.9" bottom="0.88" header="0.118110236220472" footer="0.118110236220472"/>
  <pageSetup orientation="landscape" paperSize="9" scale="74" fitToHeight="0" fitToWidth="1"/>
  <headerFooter scaleWithDoc="0">
    <oddHeader>&amp;C&amp;"Arial Black,Bold"&amp;20 &amp;G</oddHeader>
    <oddFooter>&amp;C&amp;G&amp;RPage &amp;P of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Rea Angsioco</dc:creator>
  <dcterms:created xmlns:dcterms="http://purl.org/dc/terms/" xmlns:xsi="http://www.w3.org/2001/XMLSchema-instance" xsi:type="dcterms:W3CDTF">2013-02-13T15:36:31Z</dcterms:created>
  <dcterms:modified xmlns:dcterms="http://purl.org/dc/terms/" xmlns:xsi="http://www.w3.org/2001/XMLSchema-instance" xsi:type="dcterms:W3CDTF">2026-02-16T18:42:33Z</dcterms:modified>
  <cp:lastModifiedBy>AVINASH MAURYA</cp:lastModifiedBy>
</cp:coreProperties>
</file>